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hidePivotFieldList="1"/>
  <mc:AlternateContent xmlns:mc="http://schemas.openxmlformats.org/markup-compatibility/2006">
    <mc:Choice Requires="x15">
      <x15ac:absPath xmlns:x15ac="http://schemas.microsoft.com/office/spreadsheetml/2010/11/ac" url="https://rapieruk.sharepoint.com/sites/ChillCollaborationSite/Shared Documents/Episode Journey Frameworks/Episodes Reconciliation/"/>
    </mc:Choice>
  </mc:AlternateContent>
  <xr:revisionPtr revIDLastSave="0" documentId="8_{93DDD0F5-E05C-4A2E-9209-3F56FF3340B3}" xr6:coauthVersionLast="47" xr6:coauthVersionMax="47" xr10:uidLastSave="{00000000-0000-0000-0000-000000000000}"/>
  <bookViews>
    <workbookView xWindow="39795" yWindow="13635" windowWidth="37485" windowHeight="24105" tabRatio="548" firstSheet="1" activeTab="1" xr2:uid="{17370467-7305-42E9-8AB1-1EB40AC7AC51}"/>
  </bookViews>
  <sheets>
    <sheet name="Sheet1" sheetId="1" state="hidden" r:id="rId1"/>
    <sheet name="Summary" sheetId="7" r:id="rId2"/>
    <sheet name="Reconciliation Request" sheetId="3" r:id="rId3"/>
    <sheet name="VanREnewalDocs" sheetId="14" r:id="rId4"/>
    <sheet name="DOCREQUESTS" sheetId="13" r:id="rId5"/>
    <sheet name="Reconciliation Summary" sheetId="11" r:id="rId6"/>
    <sheet name="Metrics from Chill" sheetId="4" r:id="rId7"/>
    <sheet name="Correspondence Log" sheetId="5" r:id="rId8"/>
    <sheet name="Home Renewal Documents" sheetId="8" r:id="rId9"/>
  </sheets>
  <definedNames>
    <definedName name="_xlnm._FilterDatabase" localSheetId="8" hidden="1">'Home Renewal Documents'!$A$1:$D$105</definedName>
    <definedName name="_xlnm._FilterDatabase" localSheetId="2" hidden="1">'Reconciliation Request'!$A$1:$P$755</definedName>
    <definedName name="_xlnm._FilterDatabase" localSheetId="0" hidden="1">Sheet1!$A$1:$I$490</definedName>
    <definedName name="episodeCode">#REF!</definedName>
    <definedName name="excemai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7" i="7" l="1"/>
  <c r="H593" i="3"/>
  <c r="R16" i="7"/>
  <c r="S16" i="7"/>
  <c r="T16" i="7"/>
  <c r="R17" i="7"/>
  <c r="S17" i="7"/>
  <c r="T17" i="7"/>
  <c r="R18" i="7"/>
  <c r="S18" i="7"/>
  <c r="T18" i="7"/>
  <c r="R19" i="7"/>
  <c r="S19" i="7"/>
  <c r="T19" i="7"/>
  <c r="R20" i="7"/>
  <c r="S20" i="7"/>
  <c r="T20" i="7"/>
  <c r="R21" i="7"/>
  <c r="S21" i="7"/>
  <c r="T21" i="7"/>
  <c r="R22" i="7"/>
  <c r="S22" i="7"/>
  <c r="T22" i="7"/>
  <c r="R23" i="7"/>
  <c r="S23" i="7"/>
  <c r="T23" i="7"/>
  <c r="R24" i="7"/>
  <c r="S24" i="7"/>
  <c r="T24" i="7"/>
  <c r="R25" i="7"/>
  <c r="S25" i="7"/>
  <c r="T25" i="7"/>
  <c r="R26" i="7"/>
  <c r="S26" i="7"/>
  <c r="T26" i="7"/>
  <c r="R27" i="7"/>
  <c r="S27" i="7"/>
  <c r="T27" i="7"/>
  <c r="R28" i="7"/>
  <c r="S28" i="7"/>
  <c r="T28" i="7"/>
  <c r="R29" i="7"/>
  <c r="S29" i="7"/>
  <c r="T29" i="7"/>
  <c r="R30" i="7"/>
  <c r="S30" i="7"/>
  <c r="T30" i="7"/>
  <c r="R31" i="7"/>
  <c r="S31" i="7"/>
  <c r="T31" i="7"/>
  <c r="R32" i="7"/>
  <c r="S32" i="7"/>
  <c r="T32" i="7"/>
  <c r="R33" i="7"/>
  <c r="S33" i="7"/>
  <c r="T33" i="7"/>
  <c r="R34" i="7"/>
  <c r="S34" i="7"/>
  <c r="T34" i="7"/>
  <c r="R35" i="7"/>
  <c r="S35" i="7"/>
  <c r="T35" i="7"/>
  <c r="R15" i="7"/>
  <c r="S15" i="7"/>
  <c r="T15" i="7"/>
  <c r="R6" i="7"/>
  <c r="S6" i="7"/>
  <c r="T6" i="7"/>
  <c r="R7" i="7"/>
  <c r="S7" i="7"/>
  <c r="T7" i="7"/>
  <c r="R8" i="7"/>
  <c r="S8" i="7"/>
  <c r="T8" i="7"/>
  <c r="R9" i="7"/>
  <c r="S9" i="7"/>
  <c r="T9" i="7"/>
  <c r="R10" i="7"/>
  <c r="S10" i="7"/>
  <c r="T10" i="7"/>
  <c r="R11" i="7"/>
  <c r="S11" i="7"/>
  <c r="T11" i="7"/>
  <c r="R12" i="7"/>
  <c r="S12" i="7"/>
  <c r="T12" i="7"/>
  <c r="S5" i="7"/>
  <c r="T5" i="7"/>
  <c r="R5" i="7"/>
  <c r="H290" i="3"/>
  <c r="H284" i="3"/>
  <c r="H240" i="3" l="1"/>
  <c r="H46" i="3" l="1"/>
  <c r="O16" i="7"/>
  <c r="O17" i="7"/>
  <c r="O18" i="7"/>
  <c r="O19" i="7"/>
  <c r="O20" i="7"/>
  <c r="O22" i="7"/>
  <c r="O24" i="7"/>
  <c r="O25" i="7"/>
  <c r="O26" i="7"/>
  <c r="O27" i="7"/>
  <c r="O28" i="7"/>
  <c r="O29" i="7"/>
  <c r="O30" i="7"/>
  <c r="O31" i="7"/>
  <c r="O32" i="7"/>
  <c r="O33" i="7"/>
  <c r="O34" i="7"/>
  <c r="O35" i="7"/>
  <c r="O15" i="7"/>
  <c r="O9" i="7"/>
  <c r="O10" i="7"/>
  <c r="I391" i="3" l="1"/>
  <c r="I494" i="3"/>
  <c r="H729" i="3" l="1"/>
  <c r="G729" i="3"/>
  <c r="I711" i="3"/>
  <c r="I696" i="3"/>
  <c r="H700" i="3"/>
  <c r="I707" i="3"/>
  <c r="I390" i="3"/>
  <c r="H449" i="3"/>
  <c r="O23" i="7" s="1"/>
  <c r="H395" i="3"/>
  <c r="O21" i="7" s="1"/>
  <c r="J9" i="7"/>
  <c r="J10" i="7"/>
  <c r="J13" i="7"/>
  <c r="J14" i="7"/>
  <c r="J18" i="7"/>
  <c r="J19" i="7"/>
  <c r="J24" i="7"/>
  <c r="J26" i="7"/>
  <c r="J30" i="7"/>
  <c r="J32" i="7"/>
  <c r="J33" i="7"/>
  <c r="J35" i="7"/>
  <c r="D31" i="7"/>
  <c r="K31" i="7" s="1"/>
  <c r="E31" i="7"/>
  <c r="F31" i="7"/>
  <c r="G31" i="7"/>
  <c r="H31" i="7"/>
  <c r="M31" i="7"/>
  <c r="D32" i="7"/>
  <c r="K32" i="7" s="1"/>
  <c r="E32" i="7"/>
  <c r="F32" i="7"/>
  <c r="G32" i="7"/>
  <c r="H32" i="7"/>
  <c r="M32" i="7"/>
  <c r="D33" i="7"/>
  <c r="K33" i="7" s="1"/>
  <c r="E33" i="7"/>
  <c r="F33" i="7"/>
  <c r="G33" i="7"/>
  <c r="H33" i="7"/>
  <c r="M33" i="7"/>
  <c r="D34" i="7"/>
  <c r="K34" i="7" s="1"/>
  <c r="E34" i="7"/>
  <c r="F34" i="7"/>
  <c r="G34" i="7"/>
  <c r="H34" i="7"/>
  <c r="M34" i="7"/>
  <c r="D35" i="7"/>
  <c r="K35" i="7" s="1"/>
  <c r="E35" i="7"/>
  <c r="F35" i="7"/>
  <c r="G35" i="7"/>
  <c r="H35" i="7"/>
  <c r="M35" i="7"/>
  <c r="D23" i="7"/>
  <c r="K23" i="7" s="1"/>
  <c r="E23" i="7"/>
  <c r="F23" i="7"/>
  <c r="G23" i="7"/>
  <c r="H23" i="7"/>
  <c r="M23" i="7"/>
  <c r="D24" i="7"/>
  <c r="K24" i="7" s="1"/>
  <c r="E24" i="7"/>
  <c r="F24" i="7"/>
  <c r="G24" i="7"/>
  <c r="H24" i="7"/>
  <c r="M24" i="7"/>
  <c r="D25" i="7"/>
  <c r="K25" i="7" s="1"/>
  <c r="E25" i="7"/>
  <c r="F25" i="7"/>
  <c r="G25" i="7"/>
  <c r="H25" i="7"/>
  <c r="M25" i="7"/>
  <c r="D26" i="7"/>
  <c r="K26" i="7" s="1"/>
  <c r="E26" i="7"/>
  <c r="F26" i="7"/>
  <c r="G26" i="7"/>
  <c r="H26" i="7"/>
  <c r="M26" i="7"/>
  <c r="D27" i="7"/>
  <c r="K27" i="7" s="1"/>
  <c r="E27" i="7"/>
  <c r="F27" i="7"/>
  <c r="G27" i="7"/>
  <c r="H27" i="7"/>
  <c r="M27" i="7"/>
  <c r="D28" i="7"/>
  <c r="K28" i="7" s="1"/>
  <c r="E28" i="7"/>
  <c r="F28" i="7"/>
  <c r="G28" i="7"/>
  <c r="H28" i="7"/>
  <c r="M28" i="7"/>
  <c r="D29" i="7"/>
  <c r="E29" i="7"/>
  <c r="F29" i="7"/>
  <c r="G29" i="7"/>
  <c r="H29" i="7"/>
  <c r="M29" i="7"/>
  <c r="D30" i="7"/>
  <c r="K30" i="7" s="1"/>
  <c r="E30" i="7"/>
  <c r="F30" i="7"/>
  <c r="G30" i="7"/>
  <c r="H30" i="7"/>
  <c r="M30" i="7"/>
  <c r="M15" i="7"/>
  <c r="M16" i="7"/>
  <c r="M17" i="7"/>
  <c r="M18" i="7"/>
  <c r="M19" i="7"/>
  <c r="M20" i="7"/>
  <c r="M21" i="7"/>
  <c r="M22" i="7"/>
  <c r="D15" i="7"/>
  <c r="K15" i="7" s="1"/>
  <c r="E15" i="7"/>
  <c r="F15" i="7"/>
  <c r="G15" i="7"/>
  <c r="H15" i="7"/>
  <c r="D16" i="7"/>
  <c r="K16" i="7" s="1"/>
  <c r="E16" i="7"/>
  <c r="F16" i="7"/>
  <c r="G16" i="7"/>
  <c r="H16" i="7"/>
  <c r="D17" i="7"/>
  <c r="K17" i="7" s="1"/>
  <c r="E17" i="7"/>
  <c r="F17" i="7"/>
  <c r="G17" i="7"/>
  <c r="H17" i="7"/>
  <c r="D18" i="7"/>
  <c r="K18" i="7" s="1"/>
  <c r="E18" i="7"/>
  <c r="F18" i="7"/>
  <c r="G18" i="7"/>
  <c r="H18" i="7"/>
  <c r="D19" i="7"/>
  <c r="K19" i="7" s="1"/>
  <c r="E19" i="7"/>
  <c r="F19" i="7"/>
  <c r="G19" i="7"/>
  <c r="H19" i="7"/>
  <c r="D20" i="7"/>
  <c r="K20" i="7" s="1"/>
  <c r="E20" i="7"/>
  <c r="F20" i="7"/>
  <c r="G20" i="7"/>
  <c r="H20" i="7"/>
  <c r="D21" i="7"/>
  <c r="K21" i="7" s="1"/>
  <c r="E21" i="7"/>
  <c r="F21" i="7"/>
  <c r="G21" i="7"/>
  <c r="H21" i="7"/>
  <c r="D22" i="7"/>
  <c r="K22" i="7" s="1"/>
  <c r="E22" i="7"/>
  <c r="F22" i="7"/>
  <c r="G22" i="7"/>
  <c r="H22" i="7"/>
  <c r="M6" i="7"/>
  <c r="M7" i="7"/>
  <c r="M8" i="7"/>
  <c r="M9" i="7"/>
  <c r="M10" i="7"/>
  <c r="M11" i="7"/>
  <c r="M12" i="7"/>
  <c r="M5" i="7"/>
  <c r="D6" i="7"/>
  <c r="K6" i="7" s="1"/>
  <c r="D8" i="7"/>
  <c r="K8" i="7" s="1"/>
  <c r="D9" i="7"/>
  <c r="K9" i="7" s="1"/>
  <c r="D10" i="7"/>
  <c r="K10" i="7" s="1"/>
  <c r="D11" i="7"/>
  <c r="K11" i="7" s="1"/>
  <c r="D12" i="7"/>
  <c r="K12" i="7" s="1"/>
  <c r="D5" i="7"/>
  <c r="K5" i="7" s="1"/>
  <c r="F5" i="7"/>
  <c r="G5" i="7"/>
  <c r="H5" i="7"/>
  <c r="F6" i="7"/>
  <c r="G6" i="7"/>
  <c r="H6" i="7"/>
  <c r="F7" i="7"/>
  <c r="G7" i="7"/>
  <c r="H7" i="7"/>
  <c r="F8" i="7"/>
  <c r="G8" i="7"/>
  <c r="H8" i="7"/>
  <c r="F9" i="7"/>
  <c r="G9" i="7"/>
  <c r="H9" i="7"/>
  <c r="F10" i="7"/>
  <c r="G10" i="7"/>
  <c r="H10" i="7"/>
  <c r="F11" i="7"/>
  <c r="G11" i="7"/>
  <c r="H11" i="7"/>
  <c r="F12" i="7"/>
  <c r="G12" i="7"/>
  <c r="H12" i="7"/>
  <c r="E6" i="7"/>
  <c r="E7" i="7"/>
  <c r="E8" i="7"/>
  <c r="E9" i="7"/>
  <c r="E10" i="7"/>
  <c r="E11" i="7"/>
  <c r="E12" i="7"/>
  <c r="E5" i="7"/>
  <c r="I724" i="3"/>
  <c r="I718" i="3"/>
  <c r="I700" i="3"/>
  <c r="I556" i="3"/>
  <c r="I557" i="3"/>
  <c r="I550" i="3"/>
  <c r="I501" i="3"/>
  <c r="I502" i="3"/>
  <c r="I503" i="3"/>
  <c r="L29" i="7" l="1"/>
  <c r="K29" i="7"/>
  <c r="J11" i="7"/>
  <c r="L11" i="7" s="1"/>
  <c r="O11" i="7"/>
  <c r="J12" i="7"/>
  <c r="L12" i="7" s="1"/>
  <c r="O12" i="7"/>
  <c r="L35" i="7"/>
  <c r="L19" i="7"/>
  <c r="L27" i="7"/>
  <c r="L21" i="7"/>
  <c r="L28" i="7"/>
  <c r="L25" i="7"/>
  <c r="L17" i="7"/>
  <c r="L32" i="7"/>
  <c r="L31" i="7"/>
  <c r="L23" i="7"/>
  <c r="L15" i="7"/>
  <c r="L30" i="7"/>
  <c r="L22" i="7"/>
  <c r="L20" i="7"/>
  <c r="L34" i="7"/>
  <c r="L26" i="7"/>
  <c r="L18" i="7"/>
  <c r="L33" i="7"/>
  <c r="L16" i="7"/>
  <c r="L24" i="7"/>
  <c r="L10" i="7"/>
  <c r="L9" i="7"/>
  <c r="N15" i="7"/>
  <c r="Q15" i="7" l="1"/>
  <c r="P15" i="7"/>
  <c r="G20" i="11"/>
  <c r="G13" i="11" l="1"/>
  <c r="H193" i="3"/>
  <c r="H159" i="3"/>
  <c r="G159" i="3"/>
  <c r="I160" i="3"/>
  <c r="H120" i="3"/>
  <c r="H102" i="3"/>
  <c r="I76" i="3"/>
  <c r="H68" i="3"/>
  <c r="H24" i="3"/>
  <c r="I22" i="3"/>
  <c r="N35" i="7"/>
  <c r="N34" i="7"/>
  <c r="N33" i="7"/>
  <c r="N32" i="7"/>
  <c r="N31" i="7"/>
  <c r="N30" i="7"/>
  <c r="N29" i="7"/>
  <c r="N28" i="7"/>
  <c r="N27" i="7"/>
  <c r="N26" i="7"/>
  <c r="N25" i="7"/>
  <c r="N24" i="7"/>
  <c r="N23" i="7"/>
  <c r="N22" i="7"/>
  <c r="N21" i="7"/>
  <c r="N20" i="7"/>
  <c r="N19" i="7"/>
  <c r="N18" i="7"/>
  <c r="N17" i="7"/>
  <c r="N16" i="7"/>
  <c r="N14" i="7"/>
  <c r="N13" i="7"/>
  <c r="N12" i="7"/>
  <c r="N11" i="7"/>
  <c r="N10" i="7"/>
  <c r="N9" i="7"/>
  <c r="N8" i="7"/>
  <c r="N7" i="7"/>
  <c r="N6" i="7"/>
  <c r="N5" i="7"/>
  <c r="I228" i="3"/>
  <c r="I96" i="3"/>
  <c r="I172" i="3"/>
  <c r="I164" i="3"/>
  <c r="I224" i="3"/>
  <c r="I173" i="3"/>
  <c r="I238" i="3"/>
  <c r="I237" i="3"/>
  <c r="I92" i="3"/>
  <c r="I85" i="3"/>
  <c r="I84" i="3"/>
  <c r="I45" i="3"/>
  <c r="I44" i="3"/>
  <c r="I21" i="3"/>
  <c r="I14" i="3"/>
  <c r="I4" i="3"/>
  <c r="I20" i="3"/>
  <c r="Q25" i="7" l="1"/>
  <c r="P25" i="7"/>
  <c r="P27" i="7"/>
  <c r="Q27" i="7"/>
  <c r="Q26" i="7"/>
  <c r="P26" i="7"/>
  <c r="P29" i="7"/>
  <c r="Q29" i="7"/>
  <c r="Q16" i="7"/>
  <c r="P16" i="7"/>
  <c r="P28" i="7"/>
  <c r="Q28" i="7"/>
  <c r="P35" i="7"/>
  <c r="Q35" i="7"/>
  <c r="L6" i="7"/>
  <c r="O6" i="7"/>
  <c r="J8" i="7"/>
  <c r="L8" i="7" s="1"/>
  <c r="O8" i="7"/>
  <c r="Q9" i="7"/>
  <c r="P9" i="7"/>
  <c r="J5" i="7"/>
  <c r="L5" i="7" s="1"/>
  <c r="O5" i="7"/>
  <c r="Q5" i="7" s="1"/>
  <c r="P18" i="7"/>
  <c r="Q18" i="7"/>
  <c r="P19" i="7"/>
  <c r="Q19" i="7"/>
  <c r="P21" i="7"/>
  <c r="Q21" i="7"/>
  <c r="P24" i="7"/>
  <c r="Q24" i="7"/>
  <c r="Q30" i="7"/>
  <c r="P30" i="7"/>
  <c r="Q31" i="7"/>
  <c r="P31" i="7"/>
  <c r="Q32" i="7"/>
  <c r="P32" i="7"/>
  <c r="Q33" i="7"/>
  <c r="P33" i="7"/>
  <c r="Q34" i="7"/>
  <c r="P34" i="7"/>
  <c r="P11" i="7"/>
  <c r="Q11" i="7"/>
  <c r="P12" i="7"/>
  <c r="Q12" i="7"/>
  <c r="P22" i="7"/>
  <c r="Q22" i="7"/>
  <c r="L7" i="7"/>
  <c r="O7" i="7"/>
  <c r="Q10" i="7"/>
  <c r="P10" i="7"/>
  <c r="Q17" i="7"/>
  <c r="P17" i="7"/>
  <c r="P20" i="7"/>
  <c r="Q20" i="7"/>
  <c r="P23" i="7"/>
  <c r="Q23" i="7"/>
  <c r="I159" i="3"/>
  <c r="I6" i="3"/>
  <c r="P8" i="7" l="1"/>
  <c r="Q8" i="7"/>
  <c r="P6" i="7"/>
  <c r="Q6" i="7"/>
  <c r="P5" i="7"/>
  <c r="P7" i="7"/>
  <c r="Q7" i="7"/>
</calcChain>
</file>

<file path=xl/sharedStrings.xml><?xml version="1.0" encoding="utf-8"?>
<sst xmlns="http://schemas.openxmlformats.org/spreadsheetml/2006/main" count="8655" uniqueCount="2317">
  <si>
    <t>product</t>
  </si>
  <si>
    <t>parent_episode</t>
  </si>
  <si>
    <t>EpisodeId</t>
  </si>
  <si>
    <t>episode_code</t>
  </si>
  <si>
    <t>StepId</t>
  </si>
  <si>
    <t>step_name</t>
  </si>
  <si>
    <t>Definition Agreed</t>
  </si>
  <si>
    <t>Volumes From Chill</t>
  </si>
  <si>
    <t>Priority</t>
  </si>
  <si>
    <t>Motor</t>
  </si>
  <si>
    <t>ACQUISITION_JOURNEY</t>
  </si>
  <si>
    <t>MOTOR_QUOTE_JOURNEY</t>
  </si>
  <si>
    <t>Quote initiated</t>
  </si>
  <si>
    <t>Site landing page viewed</t>
  </si>
  <si>
    <t>Quote progressed</t>
  </si>
  <si>
    <t>Not Sure</t>
  </si>
  <si>
    <t>Inbound sales contact</t>
  </si>
  <si>
    <t>Outbound sales callback</t>
  </si>
  <si>
    <t>Web assist engagement</t>
  </si>
  <si>
    <t>Quote abandoned</t>
  </si>
  <si>
    <t>Service Retrieve</t>
  </si>
  <si>
    <t>XP retrieve journey triggered</t>
  </si>
  <si>
    <t>Payment attempted (with friction)</t>
  </si>
  <si>
    <t>Payment successful</t>
  </si>
  <si>
    <t>Post-sale document pack sent (TOB / Proposal / Quote Breakdown)</t>
  </si>
  <si>
    <t>MOTOR_ACQUISITION_CALL_CENTRE</t>
  </si>
  <si>
    <t>Inbound sales contact (no MFQ match)</t>
  </si>
  <si>
    <t>Agent quotes in Genesis</t>
  </si>
  <si>
    <t>Not proceeded with</t>
  </si>
  <si>
    <t>MOTOR_QUOTE_RETRIEVE</t>
  </si>
  <si>
    <t>Quote retrieved / iterated</t>
  </si>
  <si>
    <t>Purchase</t>
  </si>
  <si>
    <t>Abandoned / expired</t>
  </si>
  <si>
    <t>MOTOR_DOCUMENT_INTAKE</t>
  </si>
  <si>
    <t>Document request issued</t>
  </si>
  <si>
    <t>Customer submits documents</t>
  </si>
  <si>
    <t>Documents validated</t>
  </si>
  <si>
    <t>Chase — first reminder</t>
  </si>
  <si>
    <t>Chase — escalation</t>
  </si>
  <si>
    <t>Documents received &amp; validated</t>
  </si>
  <si>
    <t>Cancellation — non-receipt</t>
  </si>
  <si>
    <t>MOTOR_PAYMENT_SETUP_LOAN</t>
  </si>
  <si>
    <t>Loan initiated with finance provider</t>
  </si>
  <si>
    <t>Finance application link sent (SMS + email from finance provider)</t>
  </si>
  <si>
    <t>Customer completes application / DD setup (provider portal)</t>
  </si>
  <si>
    <t>Chase — inconsistency resolution</t>
  </si>
  <si>
    <t>Payment confirmed — loan path</t>
  </si>
  <si>
    <t>Switched to pay-in-full</t>
  </si>
  <si>
    <t>Cancellation — loan setup failed</t>
  </si>
  <si>
    <t>MOTOR_PAYMENT_SETUP_LOAN_PC</t>
  </si>
  <si>
    <t>Loan initiated — integrated in the quote stage</t>
  </si>
  <si>
    <t>Finance application link sent (SMS + email from Premium Credit)</t>
  </si>
  <si>
    <t>Customer completes self-service application (docs uploaded in PC app)</t>
  </si>
  <si>
    <t>Document chase (provider chase + Chill chase)</t>
  </si>
  <si>
    <t>MOTOR_CERT_AND_DISC</t>
  </si>
  <si>
    <t>Cert &amp; Disc dispatched</t>
  </si>
  <si>
    <t>Document pack dispatched</t>
  </si>
  <si>
    <t>Customer receipt — implicit</t>
  </si>
  <si>
    <t>Non-arrival chase (inbound)</t>
  </si>
  <si>
    <t>Replacement requested</t>
  </si>
  <si>
    <t>MOTOR_ADDITIONAL_RETURN_PREMIUM</t>
  </si>
  <si>
    <t>Risk validation flags discrepancy</t>
  </si>
  <si>
    <t>Customer notified of repricing</t>
  </si>
  <si>
    <t>Customer response (AP stands — cannot be declined)</t>
  </si>
  <si>
    <t>Additional premium paid</t>
  </si>
  <si>
    <t>Return premium reversed (insurer-approved — rare, not a refund)</t>
  </si>
  <si>
    <t>Cancellation — AP unresolved (any refund is the post-cancellation balance / time-on-risk)</t>
  </si>
  <si>
    <t>RENEWALS</t>
  </si>
  <si>
    <t>MOTOR_RENEWAL_ONLINE</t>
  </si>
  <si>
    <t>Renewal window opens (T-40)</t>
  </si>
  <si>
    <t>CPC notification issued</t>
  </si>
  <si>
    <t>Renewal offer presented (T-30)</t>
  </si>
  <si>
    <t>Renewal invitation email sent</t>
  </si>
  <si>
    <t>Customer logs in to portal</t>
  </si>
  <si>
    <t>Customer retrieves / re-quotes online</t>
  </si>
  <si>
    <t>Renewal reminder / chase</t>
  </si>
  <si>
    <t>Renewal accepted / payment taken</t>
  </si>
  <si>
    <t>Renewal processed / policy continued</t>
  </si>
  <si>
    <t>Lapsed (T+7)</t>
  </si>
  <si>
    <t>MOTOR_RENEWAL_CALL_CENTRE</t>
  </si>
  <si>
    <t>Renewal invitation issued</t>
  </si>
  <si>
    <t>Customer calls Chill</t>
  </si>
  <si>
    <t>Agent re-quotes / discusses</t>
  </si>
  <si>
    <t>MOTOR_RENEWAL_DOCUMENTS</t>
  </si>
  <si>
    <t>Renewal cover letter / suitability sent</t>
  </si>
  <si>
    <t>Renewal cert &amp; disc dispatched</t>
  </si>
  <si>
    <t>MOTOR_RENEWAL_PAYMENT</t>
  </si>
  <si>
    <t>Renewal accepted (rollover trigger)</t>
  </si>
  <si>
    <t>Pay-in-full path</t>
  </si>
  <si>
    <t>Loan rollover path — DD continues</t>
  </si>
  <si>
    <t>Loan re-setup path (new agreement)</t>
  </si>
  <si>
    <t>Payment friction (failed / abandoned)</t>
  </si>
  <si>
    <t>Cancellation — payment not resolved</t>
  </si>
  <si>
    <t>MOTOR_RENEWAL_PAYMENT_RESETUP</t>
  </si>
  <si>
    <t>New loan agreement initiated</t>
  </si>
  <si>
    <t>KYC / mandate sent</t>
  </si>
  <si>
    <t>Customer signs new mandate</t>
  </si>
  <si>
    <t>Joint chase (Chill + finance provider)</t>
  </si>
  <si>
    <t>Payment confirmed (new agreement live)</t>
  </si>
  <si>
    <t>Cancellation — re-setup failed</t>
  </si>
  <si>
    <t>IN_LIFE_SERVICE</t>
  </si>
  <si>
    <t>MOTOR_MTA_PAYMENT_SCHEDULE</t>
  </si>
  <si>
    <t>Payment schedule change request — to Chill (call) or direct to the finance provider</t>
  </si>
  <si>
    <t>Schedule change processed by finance provider</t>
  </si>
  <si>
    <t>MOTOR_MTA_NAMED_DRIVER</t>
  </si>
  <si>
    <t>Customer calls Chill — driver addition/removal request</t>
  </si>
  <si>
    <t>Agent quotes cost / refund + fee</t>
  </si>
  <si>
    <t>Customer accepts (proceeds)</t>
  </si>
  <si>
    <t>Licence document upload — foreign/EU licence only (exception)</t>
  </si>
  <si>
    <t>Payment taken</t>
  </si>
  <si>
    <t>MTA processed / cert reissued</t>
  </si>
  <si>
    <t>Cancellation — declined / NPW</t>
  </si>
  <si>
    <t>MOTOR_MTA_VEHICLE_CHANGE</t>
  </si>
  <si>
    <t>Customer calls Chill — vehicle change request</t>
  </si>
  <si>
    <t>Agent quotes new premium + fee</t>
  </si>
  <si>
    <t>Customer accepts</t>
  </si>
  <si>
    <t>MTA processed / new cert dispatched</t>
  </si>
  <si>
    <t>MOTOR_MTA_ADDRESS_CHANGE</t>
  </si>
  <si>
    <t>Customer calls Chill — address change request</t>
  </si>
  <si>
    <t>Payment taken (if premium changes)</t>
  </si>
  <si>
    <t>MTA processed</t>
  </si>
  <si>
    <t>MOTOR_MTA_LICENCE_CHANGE</t>
  </si>
  <si>
    <t>Customer calls Chill — licence update request</t>
  </si>
  <si>
    <t>Licence document submitted</t>
  </si>
  <si>
    <t>MOTOR_MTA_PERSONAL</t>
  </si>
  <si>
    <t>Customer calls Chill — material personal change request</t>
  </si>
  <si>
    <t>Fee assessed (may be waived)</t>
  </si>
  <si>
    <t>Fee paid (if applicable)</t>
  </si>
  <si>
    <t>MTA processed / new docs sent</t>
  </si>
  <si>
    <t>MOTOR_CANCELLATION_REQUESTED</t>
  </si>
  <si>
    <t>Customer-initiated cancel request</t>
  </si>
  <si>
    <t>Cancellation processed</t>
  </si>
  <si>
    <t>Refund processed</t>
  </si>
  <si>
    <t>Reinstated (cancellation reversed)</t>
  </si>
  <si>
    <t>MOTOR_CANCELLATION_FORCED</t>
  </si>
  <si>
    <t>Trigger detected (doc fail / NCT fail — onboarding of documents)</t>
  </si>
  <si>
    <t>Document chase — reminder</t>
  </si>
  <si>
    <t>Document chase — escalation</t>
  </si>
  <si>
    <t>Final notice (email + paper letter)</t>
  </si>
  <si>
    <t>Conditions met — restored</t>
  </si>
  <si>
    <t>Forced cancellation</t>
  </si>
  <si>
    <t>Cancellation confirmation sent</t>
  </si>
  <si>
    <t>MOTOR_CLAIM_FNOL</t>
  </si>
  <si>
    <t>Claim raised — handed to insurer (largely invisible)</t>
  </si>
  <si>
    <t>Policy continues — claim open (insurer-managed, largely invisible)</t>
  </si>
  <si>
    <t>Policy ended (cancelled / lapsed at renewal)</t>
  </si>
  <si>
    <t>MOTOR_CLAIM_BREAKDOWN</t>
  </si>
  <si>
    <t>Breakdown assistance requested</t>
  </si>
  <si>
    <t>Breakdown invisible (3rd-party provider)</t>
  </si>
  <si>
    <t>MOTOR_CLAIM_WINDSCREEN</t>
  </si>
  <si>
    <t>Windscreen claim initiated</t>
  </si>
  <si>
    <t>Repair invisible (3rd-party provider)</t>
  </si>
  <si>
    <t>MOTOR_DOC_REQ_NO_CLAIMS</t>
  </si>
  <si>
    <t>Customer requests evidence</t>
  </si>
  <si>
    <t>Agent dispatches NCB document</t>
  </si>
  <si>
    <t>Standalone Proof of Bonus letter (alt path)</t>
  </si>
  <si>
    <t>MOTOR_DOC_REQ_LETTER_INDEMNITY</t>
  </si>
  <si>
    <t>Customer requests letter of indemnity</t>
  </si>
  <si>
    <t>Agent emails letter</t>
  </si>
  <si>
    <t>MOTOR_DOC_REQ_PAYMENTS</t>
  </si>
  <si>
    <t>Customer requests payment evidence</t>
  </si>
  <si>
    <t>Agent emails DD schedule</t>
  </si>
  <si>
    <t>MOTOR_DOC_REQ_NAMED_DRIVER</t>
  </si>
  <si>
    <t>Customer requests named driver evidence</t>
  </si>
  <si>
    <t>Agent emails (or insurer-issues if lapsed)</t>
  </si>
  <si>
    <t>MOTOR_DOC_REQ_CERT_DISC</t>
  </si>
  <si>
    <t>Customer requests cert &amp; disc replacement</t>
  </si>
  <si>
    <t>Replacement issued</t>
  </si>
  <si>
    <t>MOTOR_DOC_REQ_POLICY_DOCS</t>
  </si>
  <si>
    <t>Customer requests policy documents</t>
  </si>
  <si>
    <t>Agent emails documents</t>
  </si>
  <si>
    <t>PAYMENTS</t>
  </si>
  <si>
    <t>MOTOR_PAYMENTS_ARREARS</t>
  </si>
  <si>
    <t>Missed payment detected</t>
  </si>
  <si>
    <t>Arrears chase — automated (finance provider SMS/email, link to pay)</t>
  </si>
  <si>
    <t>Loan defaults (arrears not cleared)</t>
  </si>
  <si>
    <t>Default chase — Chill outbound (calls / email) + final notice</t>
  </si>
  <si>
    <t>Arrears cleared — paid / loan reinstated / balance settled</t>
  </si>
  <si>
    <t>Escalation → forced cancellation</t>
  </si>
  <si>
    <t>MOTOR_PAYMENTS_PAY_IN_FULL</t>
  </si>
  <si>
    <t>Customer-initiated pay-in-full call</t>
  </si>
  <si>
    <t>Payment taken / loan closed</t>
  </si>
  <si>
    <t>Home</t>
  </si>
  <si>
    <t>HOME_QUOTE_JOURNEY</t>
  </si>
  <si>
    <t>TOB sent</t>
  </si>
  <si>
    <t>HOME_ACQUISITION_CALL_CENTRE</t>
  </si>
  <si>
    <t>HOME_QUOTE_RETRIEVE</t>
  </si>
  <si>
    <t>HOME_DOCUMENT_INTAKE</t>
  </si>
  <si>
    <t>HOME_PAYMENT_SETUP</t>
  </si>
  <si>
    <t>Loan/DD initiated with finance provider</t>
  </si>
  <si>
    <t>Payment confirmed — loan/DD path</t>
  </si>
  <si>
    <t>HOME_POLICY_FULFILMENT</t>
  </si>
  <si>
    <t>Policy documents dispatched</t>
  </si>
  <si>
    <t>HOME_ADDITIONAL_RETURN_PREMIUM</t>
  </si>
  <si>
    <t>HOME_RENEWAL_ONLINE</t>
  </si>
  <si>
    <t>Declared claims recorded (insurer claims data)</t>
  </si>
  <si>
    <t>HOME_RENEWAL_CALL_CENTRE</t>
  </si>
  <si>
    <t>HOME_RENEWAL_DOCUMENTS</t>
  </si>
  <si>
    <t>Renewal documents dispatched</t>
  </si>
  <si>
    <t>HOME_RENEWAL_PAYMENT</t>
  </si>
  <si>
    <t>HOME_RENEWAL_PAYMENT_RESETUP</t>
  </si>
  <si>
    <t>HOME_MTA_PAYMENT_SCHEDULE</t>
  </si>
  <si>
    <t>HOME_MTA_NAMED_INSURED</t>
  </si>
  <si>
    <t>Customer calls Chill — named insured add/remove request</t>
  </si>
  <si>
    <t>Supporting documents uploaded</t>
  </si>
  <si>
    <t>MTA processed / docs reissued</t>
  </si>
  <si>
    <t>HOME_MTA_PROPERTY_CONTENTS</t>
  </si>
  <si>
    <t>Customer calls Chill / starts online — property/contents change request</t>
  </si>
  <si>
    <t>MTA processed / new docs dispatched</t>
  </si>
  <si>
    <t>HOME_MTA_ADDRESS_CHANGE</t>
  </si>
  <si>
    <t>Cancellation — declined / NPW (e.g., moved out of underwriting footprint)</t>
  </si>
  <si>
    <t>HOME_MTA_OCCUPANCY_CHANGE</t>
  </si>
  <si>
    <t>Customer calls Chill — occupancy/tenancy change declared</t>
  </si>
  <si>
    <t>HOME_MTA_SECURITY_RENOVATION</t>
  </si>
  <si>
    <t>Customer calls Chill — security/renovation change declared</t>
  </si>
  <si>
    <t>HOME_CANCELLATION_REQUESTED</t>
  </si>
  <si>
    <t>HOME_CANCELLATION_FORCED</t>
  </si>
  <si>
    <t>HOME_CLAIM_FNOL</t>
  </si>
  <si>
    <t>HOME_CLAIM_EOW</t>
  </si>
  <si>
    <t>Emergency / EoW assistance requested</t>
  </si>
  <si>
    <t>Emergency invisible (3rd-party provider / repair network)</t>
  </si>
  <si>
    <t>HOME_CLAIM_STORM_FLOOD</t>
  </si>
  <si>
    <t>Storm/flood/weather claim initiated</t>
  </si>
  <si>
    <t>Assessment invisible (insurer / loss adjuster)</t>
  </si>
  <si>
    <t>HOME_DOC_REQ_CLAIMS_HISTORY</t>
  </si>
  <si>
    <t>Customer requests claims history evidence</t>
  </si>
  <si>
    <t>Agent dispatches claims history document</t>
  </si>
  <si>
    <t>HOME_DOC_REQ_LETTER_INDEMNITY</t>
  </si>
  <si>
    <t>HOME_DOC_REQ_PAYMENTS</t>
  </si>
  <si>
    <t>Agent emails DD schedule / receipt</t>
  </si>
  <si>
    <t>HOME_DOC_REQ_NAMED_INSURED</t>
  </si>
  <si>
    <t>Customer requests named insured evidence</t>
  </si>
  <si>
    <t>Agent emails confirmation</t>
  </si>
  <si>
    <t>HOME_DOC_REQ_CERT</t>
  </si>
  <si>
    <t>Customer requests certificate / proof of cover</t>
  </si>
  <si>
    <t>HOME_DOC_REQ_POLICY_DOCS</t>
  </si>
  <si>
    <t>Customer requests policy schedule / wording</t>
  </si>
  <si>
    <t>HOME_PAYMENTS_ARREARS</t>
  </si>
  <si>
    <t>HOME_PAYMENTS_PAY_IN_FULL</t>
  </si>
  <si>
    <t>Van</t>
  </si>
  <si>
    <t>VAN_QUOTE_JOURNEY</t>
  </si>
  <si>
    <t>VAN_ACQUISITION_CALL_CENTRE</t>
  </si>
  <si>
    <t>VAN_QUOTE_RETRIEVE</t>
  </si>
  <si>
    <t>VAN_DOCUMENT_INTAKE</t>
  </si>
  <si>
    <t>VAN_PAYMENT_SETUP_LOAN</t>
  </si>
  <si>
    <t>VAN_PAYMENT_SETUP_LOAN_PC</t>
  </si>
  <si>
    <t>VAN_CERT_AND_DISC</t>
  </si>
  <si>
    <t>VAN_ADDITIONAL_RETURN_PREMIUM</t>
  </si>
  <si>
    <t>VAN_RENEWAL_ONLINE</t>
  </si>
  <si>
    <t>VAN_RENEWAL_CALL_CENTRE</t>
  </si>
  <si>
    <t>VAN_RENEWAL_DOCUMENTS</t>
  </si>
  <si>
    <t>VAN_RENEWAL_PAYMENT</t>
  </si>
  <si>
    <t>VAN_RENEWAL_PAYMENT_RESETUP</t>
  </si>
  <si>
    <t>VAN_MTA_PAYMENT_SCHEDULE</t>
  </si>
  <si>
    <t>VAN_MTA_NAMED_DRIVER</t>
  </si>
  <si>
    <t>VAN_MTA_VEHICLE_CHANGE</t>
  </si>
  <si>
    <t>VAN_MTA_ADDRESS_CHANGE</t>
  </si>
  <si>
    <t>VAN_MTA_LICENCE_CHANGE</t>
  </si>
  <si>
    <t>VAN_MTA_PERSONAL</t>
  </si>
  <si>
    <t>VAN_CANCELLATION_REQUESTED</t>
  </si>
  <si>
    <t>VAN_CANCELLATION_FORCED</t>
  </si>
  <si>
    <t>VAN_CLAIM_FNOL</t>
  </si>
  <si>
    <t>VAN_CLAIM_BREAKDOWN</t>
  </si>
  <si>
    <t>VAN_CLAIM_WINDSCREEN</t>
  </si>
  <si>
    <t>VAN_DOC_REQ_NO_CLAIMS</t>
  </si>
  <si>
    <t>VAN_DOC_REQ_LETTER_INDEMNITY</t>
  </si>
  <si>
    <t>VAN_DOC_REQ_PAYMENTS</t>
  </si>
  <si>
    <t>VAN_DOC_REQ_NAMED_DRIVER</t>
  </si>
  <si>
    <t>VAN_DOC_REQ_CERT_DISC</t>
  </si>
  <si>
    <t>VAN_DOC_REQ_POLICY_DOCS</t>
  </si>
  <si>
    <t>VAN_PAYMENTS_ARREARS</t>
  </si>
  <si>
    <t>VAN_PAYMENTS_PAY_IN_FULL</t>
  </si>
  <si>
    <t>Travel</t>
  </si>
  <si>
    <t>TRAVEL_ACQUISITION_ONLINE</t>
  </si>
  <si>
    <t>Travel quote initiated</t>
  </si>
  <si>
    <t>Pricing presented (cover tiers / dates)</t>
  </si>
  <si>
    <t>Payment in full (card)</t>
  </si>
  <si>
    <t>Abandoned / deflected to phone</t>
  </si>
  <si>
    <t>TRAVEL_ACQUISITION_PHONE_MAPFRE</t>
  </si>
  <si>
    <t>Deflection to Mapfre contact centre</t>
  </si>
  <si>
    <t>Mapfre agent sells over phone</t>
  </si>
  <si>
    <t>Purchase confirmed (next-day CSV)</t>
  </si>
  <si>
    <t>TRAVEL_QUOTE_JOURNEY</t>
  </si>
  <si>
    <t>Abandoned</t>
  </si>
  <si>
    <t>TRAVEL_POLICY_FULFILMENT_MAPFRE</t>
  </si>
  <si>
    <t>Mapfre generates &amp; emails policy docs</t>
  </si>
  <si>
    <t>Customer receives (silent close)</t>
  </si>
  <si>
    <t>TRAVEL_MTA_MAPFRE</t>
  </si>
  <si>
    <t>Customer requests change (Mapfre inbound)</t>
  </si>
  <si>
    <t>Mapfre processes — typically cancel + re-buy</t>
  </si>
  <si>
    <t>Net effect — new policy record (or amended)</t>
  </si>
  <si>
    <t>TRAVEL_CANCELLATION_MAPFRE</t>
  </si>
  <si>
    <t>Cancellation requested (Mapfre inbound)</t>
  </si>
  <si>
    <t>Mapfre processes cancellation</t>
  </si>
  <si>
    <t>TRAVEL_CLAIM_FNOL_MAPFRE</t>
  </si>
  <si>
    <t>Claim initiated (Mapfre form / call / email)</t>
  </si>
  <si>
    <t>Mapfre owns end-to-end claim management</t>
  </si>
  <si>
    <t>TRAVEL_RENEWAL_ONLINE</t>
  </si>
  <si>
    <t>Pre-renewal notification (T-X cadence TBC)</t>
  </si>
  <si>
    <t>Customer reviews / re-purchases</t>
  </si>
  <si>
    <t>Renewal processed</t>
  </si>
  <si>
    <t>Lapsed (forgot to renew)</t>
  </si>
  <si>
    <t>TRAVEL_RENEWAL_PHONE_MAPFRE</t>
  </si>
  <si>
    <t>Customer renews via Mapfre phone</t>
  </si>
  <si>
    <t>Renewal processed (Mapfre)</t>
  </si>
  <si>
    <t>Lapsed</t>
  </si>
  <si>
    <t>TRAVEL_RENEWAL_LAPSED_WINBACK</t>
  </si>
  <si>
    <t>Policy lapsed (rollover window closed)</t>
  </si>
  <si>
    <t>Win-back comms (XP)</t>
  </si>
  <si>
    <t>Win-back purchase (new policy)</t>
  </si>
  <si>
    <t>Product</t>
  </si>
  <si>
    <t>Journey</t>
  </si>
  <si>
    <t>Priority Data Points</t>
  </si>
  <si>
    <t>Other Data Points</t>
  </si>
  <si>
    <t>Total Data Points</t>
  </si>
  <si>
    <t>Total Fabric Coverage</t>
  </si>
  <si>
    <t>Total Fabric Not Provided</t>
  </si>
  <si>
    <t>Total Fabric Coverage %</t>
  </si>
  <si>
    <t>Is Data / Logic Available / accessible?</t>
  </si>
  <si>
    <t>Priority Total</t>
  </si>
  <si>
    <t>Reconciled</t>
  </si>
  <si>
    <t>Reconciled within acceptable variance</t>
  </si>
  <si>
    <t>Under Investigation</t>
  </si>
  <si>
    <t>No report data supplied</t>
  </si>
  <si>
    <t>No data Available</t>
  </si>
  <si>
    <t>Available in IGP (Fabric)</t>
  </si>
  <si>
    <t>% Coverage Missing in Fabric</t>
  </si>
  <si>
    <t>% Coverage in IGP (Fabric)</t>
  </si>
  <si>
    <t>Yes</t>
  </si>
  <si>
    <t>No</t>
  </si>
  <si>
    <t>Not a Data Point</t>
  </si>
  <si>
    <t>Acquisition</t>
  </si>
  <si>
    <t>Renewal</t>
  </si>
  <si>
    <t>MTA</t>
  </si>
  <si>
    <t>Cancellation</t>
  </si>
  <si>
    <t>Arrears</t>
  </si>
  <si>
    <t>Doc Request</t>
  </si>
  <si>
    <t>In-Life</t>
  </si>
  <si>
    <t>Claims</t>
  </si>
  <si>
    <t>Data Gaps</t>
  </si>
  <si>
    <t>Loans</t>
  </si>
  <si>
    <t>MTA Gaps</t>
  </si>
  <si>
    <t>Cancellations</t>
  </si>
  <si>
    <t xml:space="preserve">Doc Request </t>
  </si>
  <si>
    <t>What defines the record as customer requested than business process initiated?</t>
  </si>
  <si>
    <t>Cancellation reversed</t>
  </si>
  <si>
    <t>What is the appropriate logic / tables that confirm a cancellation has been reversed on a policy? .. Over time // cross month end boundaries / Sl03 )lowish volumes)</t>
  </si>
  <si>
    <t>rebook vs reinstatement</t>
  </si>
  <si>
    <t>Additional or return / refund of premium</t>
  </si>
  <si>
    <t xml:space="preserve">How we can identify from relay that additional premium is requested from customer (and is paid) or refunding of additional premium has happened? </t>
  </si>
  <si>
    <t>Endorsements  (fee or premium) / returns  (fees / premium)</t>
  </si>
  <si>
    <t xml:space="preserve">BO Agent Quotes </t>
  </si>
  <si>
    <t>We see multiple records per session / how does that work?</t>
  </si>
  <si>
    <t>MTA information -- detailed data / payment info available in Relay?</t>
  </si>
  <si>
    <t>step_id</t>
  </si>
  <si>
    <t>Step</t>
  </si>
  <si>
    <t>Source for recon</t>
  </si>
  <si>
    <t>Reporting - Volumes</t>
  </si>
  <si>
    <t>Fabric Volumes</t>
  </si>
  <si>
    <t>%Variance</t>
  </si>
  <si>
    <t>Status</t>
  </si>
  <si>
    <t>Is data available?</t>
  </si>
  <si>
    <t>Status Description</t>
  </si>
  <si>
    <t>Source</t>
  </si>
  <si>
    <t>Notes</t>
  </si>
  <si>
    <t>Notes-Chill DataTeam</t>
  </si>
  <si>
    <t>A0.C</t>
  </si>
  <si>
    <t>Entry channel</t>
  </si>
  <si>
    <t>A0.C.F1</t>
  </si>
  <si>
    <t>Existing client rebooked and written as new business</t>
  </si>
  <si>
    <t>Got logic from Data team but needs work to resolve</t>
  </si>
  <si>
    <t>A1</t>
  </si>
  <si>
    <t>Quote initiated ONLINE</t>
  </si>
  <si>
    <t>SL10</t>
  </si>
  <si>
    <t>MFQ</t>
  </si>
  <si>
    <t>SL10 -Total Quotes All - no filters applied</t>
  </si>
  <si>
    <t>No action for DataTeam</t>
  </si>
  <si>
    <t>A1.E1</t>
  </si>
  <si>
    <t>Service retrieve</t>
  </si>
  <si>
    <t>Source Not Accessible (yet)</t>
  </si>
  <si>
    <t>SendGrid</t>
  </si>
  <si>
    <t>Service Message so all quotes are assumed to receive service retrieve message - Will be resolved when Sendgrid data is extracted</t>
  </si>
  <si>
    <t>A0</t>
  </si>
  <si>
    <t>Straight into the CALL CENTRE</t>
  </si>
  <si>
    <t>Reconciled with Reasons supplied</t>
  </si>
  <si>
    <t>Genesys</t>
  </si>
  <si>
    <t>WebAssist - 1202 -- Unique in Fabric - Nikita to check transformaiton steps / Data team to review code and confirm - use that INBOUND genesys logic
765 are removed from SQL09 matching after they were GDPR-ed
We can confirm 3557 is true as of end of July (3rd of August)</t>
  </si>
  <si>
    <t>Shared script in chat.</t>
  </si>
  <si>
    <t>Not Started</t>
  </si>
  <si>
    <t>A0.1</t>
  </si>
  <si>
    <t>Data unstructured but available</t>
  </si>
  <si>
    <t>GA4 / MFQ</t>
  </si>
  <si>
    <t>List of landing pages to be agreed</t>
  </si>
  <si>
    <t>A0.F1</t>
  </si>
  <si>
    <t>Call wait time, or fails to make contact</t>
  </si>
  <si>
    <t>abandoned calls -- To include anyone who is waiting for more than 5 minutes</t>
  </si>
  <si>
    <t>A2</t>
  </si>
  <si>
    <t>Customer details complete</t>
  </si>
  <si>
    <t>New Source</t>
  </si>
  <si>
    <t>A2.F1</t>
  </si>
  <si>
    <t>Drop off before completing the details</t>
  </si>
  <si>
    <t>A2.E1</t>
  </si>
  <si>
    <t>This year retrieve (TYR)</t>
  </si>
  <si>
    <t>CRM</t>
  </si>
  <si>
    <t>Total SMS + Email sends</t>
  </si>
  <si>
    <t>Identify Source</t>
  </si>
  <si>
    <t>A2.E1.F1</t>
  </si>
  <si>
    <t>Retrieve link does not connect, or the price has changed</t>
  </si>
  <si>
    <t>Retrieve failures not abservable in GA4 - MFQ linked data. Raw GA4 is needed for that</t>
  </si>
  <si>
    <t>A2.E1.F2</t>
  </si>
  <si>
    <t>Price has moved since the customer saw it</t>
  </si>
  <si>
    <t>A3</t>
  </si>
  <si>
    <t>Customer gets a price</t>
  </si>
  <si>
    <t>A3.F1</t>
  </si>
  <si>
    <t>No price returned, told to call us</t>
  </si>
  <si>
    <t>Step 5 completed in first attempt + Insurer quoted flag = N from SL10 - If further filters to bne applied, please confirm</t>
  </si>
  <si>
    <t>A3.B1</t>
  </si>
  <si>
    <t>Quote retrieve and re-quote cycles</t>
  </si>
  <si>
    <t>A3.B1.F1</t>
  </si>
  <si>
    <t>Number of cycles through A1 to A3</t>
  </si>
  <si>
    <t>how to show cycles here ? Some quotes get retrieved more often than some (retrieval count)
Event Stream will capture the cycles but presenting the number here is not clean</t>
  </si>
  <si>
    <t>A3.E1</t>
  </si>
  <si>
    <t>very low</t>
  </si>
  <si>
    <t>A3.E2</t>
  </si>
  <si>
    <t>In-flight price improvement: promo code, fee reduction, or agent alters a web-assisted quote</t>
  </si>
  <si>
    <t>Data not captured</t>
  </si>
  <si>
    <t>A4a</t>
  </si>
  <si>
    <t>Customer buys ONLINE</t>
  </si>
  <si>
    <t>MFQ Payments</t>
  </si>
  <si>
    <t>SL10 - MFQ Sales - no filters applied - 2946
2587 in SL06 - the difference is the sales getting assigned to renewals (against 3010 to 2587) and 66 QQGuids are from June</t>
  </si>
  <si>
    <t>A4b</t>
  </si>
  <si>
    <t>Agent quotes and converts on the CALL</t>
  </si>
  <si>
    <t>SL06</t>
  </si>
  <si>
    <t>Relay derivation / Realex not available</t>
  </si>
  <si>
    <t>Nikita - to provide matching logic - use that INBOUND genesys logic
Not exactly from Genesys but inferred from Relay</t>
  </si>
  <si>
    <t>Shared logic on chat.</t>
  </si>
  <si>
    <t>A4.F1</t>
  </si>
  <si>
    <t>Web assist: starts online, then calls to complete</t>
  </si>
  <si>
    <t>MFQ - Relay derivation / Realex not available</t>
  </si>
  <si>
    <t>Not exactly from Genesys but inferred from Relay</t>
  </si>
  <si>
    <t>A4.F2</t>
  </si>
  <si>
    <t xml:space="preserve">Customer buys the wrong policy. They cannot evidence NCD - Repurchase after a failed purchase - doc validation </t>
  </si>
  <si>
    <t>A4b.O1</t>
  </si>
  <si>
    <t>A5a</t>
  </si>
  <si>
    <t>Payment attempted ONLINE</t>
  </si>
  <si>
    <t>Refers to online only (same person multiple Guids potentially)</t>
  </si>
  <si>
    <t>A5b</t>
  </si>
  <si>
    <t>Payment attempted on the CALL</t>
  </si>
  <si>
    <t>-</t>
  </si>
  <si>
    <t>Realex Potentially</t>
  </si>
  <si>
    <t>not recorded anywhere we have access to - Global Realex might have -- new source</t>
  </si>
  <si>
    <t>A5.F1</t>
  </si>
  <si>
    <t>Payment failed</t>
  </si>
  <si>
    <t>a failure can be successful later</t>
  </si>
  <si>
    <t>A5.B1</t>
  </si>
  <si>
    <t>Loan setup with the finance provider</t>
  </si>
  <si>
    <t>Chill Data Team supplied some info. UAT not complete on Chill Side. Rapier working on reconciliation</t>
  </si>
  <si>
    <t>Nikita - to provide the historic DD logic (diaries) - PC pipeline going forwards
Online finance request is captured. Call centre loan request is not captured
From MFQ Payments options - No followup info</t>
  </si>
  <si>
    <t>Shared ODS table names on chat and PaymentType logic for historic data is still in UAT.</t>
  </si>
  <si>
    <t>A5.B1.F1</t>
  </si>
  <si>
    <t>Mandate not signed, or the loan is not set up</t>
  </si>
  <si>
    <t>Loan information not available</t>
  </si>
  <si>
    <t>A5.B1.F2</t>
  </si>
  <si>
    <t>Time taken to complete loan setup</t>
  </si>
  <si>
    <t>A5.B1.F3</t>
  </si>
  <si>
    <t>Repeat visits to the loan setup step</t>
  </si>
  <si>
    <t>A5.B2</t>
  </si>
  <si>
    <t>Submit docs in the online journey</t>
  </si>
  <si>
    <t>A5.B3</t>
  </si>
  <si>
    <t>Credit worthiness check</t>
  </si>
  <si>
    <t>A5.B3.F1</t>
  </si>
  <si>
    <t>Credit check failed</t>
  </si>
  <si>
    <t>A5.1</t>
  </si>
  <si>
    <t>Purchase confirmation sent</t>
  </si>
  <si>
    <t>CRM (XP / CDA)</t>
  </si>
  <si>
    <t>2890 (Email) / 3623 (SMS)
sql07 - cda - SMS Message Delivered / Email is XP
'Hi, thanks for choosing us, we really appreciate it.%be sending out your welcome pack shortly. Thanks, Chill Insurance.'
2890 online bind confirmation</t>
  </si>
  <si>
    <t>A6</t>
  </si>
  <si>
    <t>Documents requested</t>
  </si>
  <si>
    <t>Relay Events</t>
  </si>
  <si>
    <t>No tableau figures provided, please provide or state not available</t>
  </si>
  <si>
    <t>A6.F1</t>
  </si>
  <si>
    <t>Chases before the customer submits, and documents never submitted</t>
  </si>
  <si>
    <t>CRM (XP)</t>
  </si>
  <si>
    <r>
      <rPr>
        <strike/>
        <sz val="10"/>
        <color rgb="FF7F6000"/>
        <rFont val="Arial"/>
        <family val="2"/>
      </rPr>
      <t xml:space="preserve">Nikita - to provide document chase diaries / Vijay Ewan to do
</t>
    </r>
    <r>
      <rPr>
        <sz val="10"/>
        <color rgb="FF7F6000"/>
        <rFont val="Arial"/>
        <family val="2"/>
      </rPr>
      <t>use EXP_MyChill_Chase_Daily_Snapshot_MotorVan
Nikita supplied the document diary table - this is a live table and there is no history also the related campaigns are not in xp response tables -- further question for Nikita - Future data can be extracted but past history is not possible as of now - Data Team to help to investigate</t>
    </r>
  </si>
  <si>
    <t>Shared on chat - Home, Motor, and Van chase diary list , table name , join criteria and SP for more details. Rapier to confirm the diary names with Darragh. 
Shared snapshot table name from DWH.</t>
  </si>
  <si>
    <t>A6.F2</t>
  </si>
  <si>
    <t>Customer has no smartphone, so document upload falls back to a manual process</t>
  </si>
  <si>
    <t>not captured</t>
  </si>
  <si>
    <t>A6.B1</t>
  </si>
  <si>
    <t>Document intake</t>
  </si>
  <si>
    <t>MyChill Uploads</t>
  </si>
  <si>
    <r>
      <rPr>
        <strike/>
        <sz val="10"/>
        <color rgb="FF7F6000"/>
        <rFont val="Arial"/>
        <family val="2"/>
      </rPr>
      <t xml:space="preserve">Nikita - to provide document chase diaries / Vijay Ewan to do
</t>
    </r>
    <r>
      <rPr>
        <sz val="10"/>
        <color rgb="FF7F6000"/>
        <rFont val="Arial"/>
        <family val="2"/>
      </rPr>
      <t xml:space="preserve">
Nikita supplied the document diary table - this is a live table and there is no history also the related campaigns are not in xp response tables -- further question for Nikita - Future data can be extracted but past history is not possible as of now - Data Team to help to investigate</t>
    </r>
  </si>
  <si>
    <t>A6.B1.F1</t>
  </si>
  <si>
    <t>Documents never submitted, policy at risk. Bites A5a customers hardest</t>
  </si>
  <si>
    <t>CRM (XP) / Relay Events</t>
  </si>
  <si>
    <t>A7</t>
  </si>
  <si>
    <t>Cert and disc sent</t>
  </si>
  <si>
    <t xml:space="preserve">Vijay to send samples of Sold Policies -- with and without C&amp;D sent . Anna to check with business </t>
  </si>
  <si>
    <t>Pending with Vijay</t>
  </si>
  <si>
    <t>A7.F1</t>
  </si>
  <si>
    <t>Non-arrival, and time taken to receive</t>
  </si>
  <si>
    <t>Genesys (but not direct)</t>
  </si>
  <si>
    <t>duplicates sent</t>
  </si>
  <si>
    <t>A7.B1</t>
  </si>
  <si>
    <t>Cert and disc dispatch</t>
  </si>
  <si>
    <t>total sends</t>
  </si>
  <si>
    <t>A3.B1.1</t>
  </si>
  <si>
    <t>Quote retrieved or iterated</t>
  </si>
  <si>
    <t xml:space="preserve"> include quotes started in previous month but retrieved in the current month for reconciliation - / Vijay Ewan to do</t>
  </si>
  <si>
    <t>A3.B1.2</t>
  </si>
  <si>
    <t>assuming one quote per converted policy as successful)</t>
  </si>
  <si>
    <t>A3.B1.O1</t>
  </si>
  <si>
    <t>Abandoned or expired</t>
  </si>
  <si>
    <t>Quotes (</t>
  </si>
  <si>
    <t>A5.B1.1</t>
  </si>
  <si>
    <t>Loan initiated with the finance provider</t>
  </si>
  <si>
    <t>Not available at this level - Discussed</t>
  </si>
  <si>
    <t>A5.B1.2</t>
  </si>
  <si>
    <t>Finance application link sent</t>
  </si>
  <si>
    <t>A5.B1.3</t>
  </si>
  <si>
    <t>Customer completes the application and DD setup</t>
  </si>
  <si>
    <t>A5.B1.4</t>
  </si>
  <si>
    <t>Chase, inconsistency resolution</t>
  </si>
  <si>
    <t>A5.B1.5</t>
  </si>
  <si>
    <t>Payment confirmed on the loan path</t>
  </si>
  <si>
    <t>A5.B1.O1</t>
  </si>
  <si>
    <t>Switched to pay in full</t>
  </si>
  <si>
    <t>A5.B1.O2</t>
  </si>
  <si>
    <t>Cancellation, loan setup failed</t>
  </si>
  <si>
    <t>A5.B1.PC1</t>
  </si>
  <si>
    <t>Loan initiated, integrated at the quote stage</t>
  </si>
  <si>
    <t>A5.B1.PC2</t>
  </si>
  <si>
    <t>Finance application link sent by Premium Credit</t>
  </si>
  <si>
    <t>A5.B1.PC3</t>
  </si>
  <si>
    <t>Customer completes the self service application</t>
  </si>
  <si>
    <t>A5.B1.PC4</t>
  </si>
  <si>
    <t>Document chase, provider and Chill</t>
  </si>
  <si>
    <t>A5.B1.PC5</t>
  </si>
  <si>
    <t>A5.B1.PC.O1</t>
  </si>
  <si>
    <t>Switched to pay in full, or cancellation</t>
  </si>
  <si>
    <t>A6.B1.1</t>
  </si>
  <si>
    <t xml:space="preserve">Should this align with A6 ? </t>
  </si>
  <si>
    <t>A6.B1.2</t>
  </si>
  <si>
    <t>we captured until 6th august - think it goes further -- this is from mychill</t>
  </si>
  <si>
    <t>A6.B1.4</t>
  </si>
  <si>
    <t>Chase, first reminder</t>
  </si>
  <si>
    <t>CRM XP</t>
  </si>
  <si>
    <t>A6.B1.5</t>
  </si>
  <si>
    <t>Chase, escalation</t>
  </si>
  <si>
    <t>ongoing (we collected up to 6th August) - from Relay Events</t>
  </si>
  <si>
    <t>A6.B1.3</t>
  </si>
  <si>
    <t>MyChill Status</t>
  </si>
  <si>
    <t>1088 accepted / 456 rejected (not mutually exclusive)</t>
  </si>
  <si>
    <t>A6.B1.O1</t>
  </si>
  <si>
    <t>Cancellation, non-receipt</t>
  </si>
  <si>
    <t>A6.B1.6</t>
  </si>
  <si>
    <t>Documents received and validated</t>
  </si>
  <si>
    <t>How is this different from A6.B1.3 ?</t>
  </si>
  <si>
    <t>A7.B1.1</t>
  </si>
  <si>
    <t>Cert and disc dispatched</t>
  </si>
  <si>
    <t>A7.B1.2</t>
  </si>
  <si>
    <t>A7.B1.3</t>
  </si>
  <si>
    <t>Customer receipt, implicit</t>
  </si>
  <si>
    <t xml:space="preserve">Relay Renewals </t>
  </si>
  <si>
    <t>A7.B1.4</t>
  </si>
  <si>
    <t>Non-arrival chase, inbound</t>
  </si>
  <si>
    <t>Genesys (not direct)</t>
  </si>
  <si>
    <t>the number of inbound calls is disproportionate to the duplicate dics sent.. So better not to flag them as non arrival chase</t>
  </si>
  <si>
    <t>A7.B1.5</t>
  </si>
  <si>
    <t>R0</t>
  </si>
  <si>
    <t>Pre-renewal notification, 60 days</t>
  </si>
  <si>
    <t>Not a data point</t>
  </si>
  <si>
    <t>RO.F1</t>
  </si>
  <si>
    <t>Not sent - no terms from Insurer</t>
  </si>
  <si>
    <t>is this held letter too?</t>
  </si>
  <si>
    <t>R0.B1</t>
  </si>
  <si>
    <t>Renewal held letter</t>
  </si>
  <si>
    <t>RO.F2</t>
  </si>
  <si>
    <t>Declared claims not recorded</t>
  </si>
  <si>
    <t>Relay Claims</t>
  </si>
  <si>
    <t>R1a</t>
  </si>
  <si>
    <t>Renewal invitation sent by EMAIL</t>
  </si>
  <si>
    <t>15552 (not split)</t>
  </si>
  <si>
    <t>use DWH.tbl_ref_Mapping_RenewalPrepDocs to identify the documents and split according to event type - Use the renewal eligible month and count the offers sent in the previous 2 months (translates to roughly 3 full months)</t>
  </si>
  <si>
    <t>R1b</t>
  </si>
  <si>
    <t>Renewal invitation sent by POST</t>
  </si>
  <si>
    <t>R1.B1</t>
  </si>
  <si>
    <t xml:space="preserve">Behaviour check on the offer </t>
  </si>
  <si>
    <t>R1.B2</t>
  </si>
  <si>
    <t>Alternative offer sent</t>
  </si>
  <si>
    <t>Relay - RBSFCREN data</t>
  </si>
  <si>
    <t>R1.E1</t>
  </si>
  <si>
    <t>Renewal campaigns: CRM</t>
  </si>
  <si>
    <t>R1.E1.F1</t>
  </si>
  <si>
    <t>Complaints about the renewal programme</t>
  </si>
  <si>
    <t>Complaints</t>
  </si>
  <si>
    <t>Data to be supplied by Chill</t>
  </si>
  <si>
    <t>R1.E1.F2</t>
  </si>
  <si>
    <t>Programme fails and the renewal date is missed</t>
  </si>
  <si>
    <t>R1.E1.F3</t>
  </si>
  <si>
    <t>Renewal customer in an acquisition campaign audience</t>
  </si>
  <si>
    <t>to be derived</t>
  </si>
  <si>
    <t>R2</t>
  </si>
  <si>
    <t>SL04</t>
  </si>
  <si>
    <t>RSS Login</t>
  </si>
  <si>
    <t>R2.F1</t>
  </si>
  <si>
    <t>Failed login</t>
  </si>
  <si>
    <t>smaller volume - to be investigated</t>
  </si>
  <si>
    <t>R2.F2</t>
  </si>
  <si>
    <t>Customer does not accept the price</t>
  </si>
  <si>
    <t>no data point</t>
  </si>
  <si>
    <t>R2.F3</t>
  </si>
  <si>
    <t>Portal detail updates do not persist</t>
  </si>
  <si>
    <t>R2.B1</t>
  </si>
  <si>
    <t>Online re-quote (MFQ) for another price</t>
  </si>
  <si>
    <t>1616 policies doiing 3152 quotes</t>
  </si>
  <si>
    <t>R2.B1.F1</t>
  </si>
  <si>
    <t>New quote does not beat the renewal price, or the quote is abandoned</t>
  </si>
  <si>
    <t>340 policies bought off MFQ directly, which could go into R3a probably (359 marked from acq)</t>
  </si>
  <si>
    <t>R2.E1</t>
  </si>
  <si>
    <t>In-flight price improvement: promo code, or the agent reduces the fee</t>
  </si>
  <si>
    <t>Offer Price vs Final Price comparison in Relay</t>
  </si>
  <si>
    <t>R2.E1.F1</t>
  </si>
  <si>
    <t>The better price only appeared after the customer pushed back</t>
  </si>
  <si>
    <t>R3a</t>
  </si>
  <si>
    <t>Customer renews ONLINE</t>
  </si>
  <si>
    <t>SL04 Online Payment Count</t>
  </si>
  <si>
    <t>RSS Payments</t>
  </si>
  <si>
    <t xml:space="preserve">Compare Policy keys -- old figure 7468 -- Nikita Query gives 7971 / Compared now -- 7448 rss Sales </t>
  </si>
  <si>
    <t>R3b</t>
  </si>
  <si>
    <t>Customer renews on an INBOUND call</t>
  </si>
  <si>
    <t>Relay Newarchive</t>
  </si>
  <si>
    <t>Compare Policy keys -- Anna to confirm the PolicyKeys / Nikita will check with  / Compared now</t>
  </si>
  <si>
    <t xml:space="preserve">Shared query in chat for Motor as well, same as Home. </t>
  </si>
  <si>
    <t>R3c</t>
  </si>
  <si>
    <t>Customer renews on an OUTBOUND call</t>
  </si>
  <si>
    <t xml:space="preserve">VV: </t>
  </si>
  <si>
    <t>R3d</t>
  </si>
  <si>
    <t>Customer renews on CHAT</t>
  </si>
  <si>
    <t>No reliable data point (checked with Gavin)</t>
  </si>
  <si>
    <t>---</t>
  </si>
  <si>
    <t>Relay newarchive - Inference</t>
  </si>
  <si>
    <t>only 2 diff - Lower priority to investigate</t>
  </si>
  <si>
    <t>R3b.F1</t>
  </si>
  <si>
    <t>1194 = Number of calls , number in volumes is phone numbers</t>
  </si>
  <si>
    <t>R3.F2</t>
  </si>
  <si>
    <t>Change friction: adjustments at renewal</t>
  </si>
  <si>
    <t xml:space="preserve">What are the rules to derive this? </t>
  </si>
  <si>
    <t>R3.B1</t>
  </si>
  <si>
    <t>This year lapsed</t>
  </si>
  <si>
    <t xml:space="preserve">needs to break this down  - marked as lapsed in relay policy physical </t>
  </si>
  <si>
    <t>R3.B2</t>
  </si>
  <si>
    <t>Offer withdrawn and re-issued</t>
  </si>
  <si>
    <t>Need Source</t>
  </si>
  <si>
    <t>What is the source for this?</t>
  </si>
  <si>
    <t>R3.O1</t>
  </si>
  <si>
    <t>Policy lapsed</t>
  </si>
  <si>
    <t>Relay Policy Physical</t>
  </si>
  <si>
    <t>R4</t>
  </si>
  <si>
    <t>R4.F1</t>
  </si>
  <si>
    <t>RSS Failed Payments</t>
  </si>
  <si>
    <t xml:space="preserve">a failure can be followed by a successful payment </t>
  </si>
  <si>
    <t>R4.F2</t>
  </si>
  <si>
    <t>Price charged does not match the price displayed</t>
  </si>
  <si>
    <t>Which prices? Need to confirm</t>
  </si>
  <si>
    <t>R4.B2</t>
  </si>
  <si>
    <t>R4a</t>
  </si>
  <si>
    <t>Pay in full</t>
  </si>
  <si>
    <t>Pay in full and monthly - online only - / Vijay Ewan to do - final logic to be approved by Chill Ops 
2798 installments</t>
  </si>
  <si>
    <t>R4b</t>
  </si>
  <si>
    <t>Monthly rollover</t>
  </si>
  <si>
    <t>History UAT is the blocker</t>
  </si>
  <si>
    <t>Nikita - to provide the historic DD logic (diaries) - PC pipeline going forwards - / Vijay Ewan to do</t>
  </si>
  <si>
    <t>Shared table names for Full or DD payment. Final Payment Type in UAT</t>
  </si>
  <si>
    <t>R4c</t>
  </si>
  <si>
    <t>New monthly agreement</t>
  </si>
  <si>
    <t>R4c.F1</t>
  </si>
  <si>
    <t>Forced re-setup — the customer expected a rollover</t>
  </si>
  <si>
    <t>R4c.B1</t>
  </si>
  <si>
    <t>R4c.B1.F1</t>
  </si>
  <si>
    <t>R4c.B2</t>
  </si>
  <si>
    <t>Loan setup with the new finance provider, Premium Credit // High cancellation rate, per Chill</t>
  </si>
  <si>
    <t>R5</t>
  </si>
  <si>
    <t>Renewal processed, policy continued</t>
  </si>
  <si>
    <t>R5.F1</t>
  </si>
  <si>
    <t>Time taken to process the renewal // Days from acceptance to processed</t>
  </si>
  <si>
    <t>What information is needed here?</t>
  </si>
  <si>
    <t>R5.F2</t>
  </si>
  <si>
    <t>Repeat visits to the renewal step // Revisits per renewal</t>
  </si>
  <si>
    <t>R6</t>
  </si>
  <si>
    <t>R2.B1.1</t>
  </si>
  <si>
    <t>MFQ quote started from the renewal price</t>
  </si>
  <si>
    <t>Looking for quotes that started after the Offer was sent</t>
  </si>
  <si>
    <t>R2.B1.2</t>
  </si>
  <si>
    <r>
      <t xml:space="preserve">Details </t>
    </r>
    <r>
      <rPr>
        <strike/>
        <sz val="10"/>
        <color rgb="FF000000"/>
        <rFont val="Arial"/>
        <family val="2"/>
      </rPr>
      <t xml:space="preserve">carried over or </t>
    </r>
    <r>
      <rPr>
        <sz val="10"/>
        <color rgb="FF000000"/>
        <rFont val="Arial"/>
        <family val="2"/>
      </rPr>
      <t>amended</t>
    </r>
  </si>
  <si>
    <t>amendments to be specified (dob / vehicle / address / surname / email / phne need to be the same to match ). Any other amendments -- policy details to be confirmed for searching mismatch - 133 tried amendments to get different prices</t>
  </si>
  <si>
    <t>R2.B1.3</t>
  </si>
  <si>
    <t>New price returned</t>
  </si>
  <si>
    <t xml:space="preserve">MFQ </t>
  </si>
  <si>
    <t>635 policies / 1015 quotes</t>
  </si>
  <si>
    <t>R2.B1.3.F1</t>
  </si>
  <si>
    <t>No price returned, or the quote is abandoned</t>
  </si>
  <si>
    <t>R2.B1.4</t>
  </si>
  <si>
    <t>Customer compares against the renewal offer</t>
  </si>
  <si>
    <t>?? This is not a data point. Just a customer action</t>
  </si>
  <si>
    <t>R2.B1.4.F1</t>
  </si>
  <si>
    <t>New price is worse than the renewal offer</t>
  </si>
  <si>
    <t>This is not as simple as that. There are cases where the MFQ prices are better but the Customer renews on a higher price as suggested in the offer - Also 542 quotes are where the MFQ is worse, while 287 cases where MFQ is better</t>
  </si>
  <si>
    <t>R2.B1.O1</t>
  </si>
  <si>
    <t>Renews on the renewal offer</t>
  </si>
  <si>
    <t>R2.B1.O2</t>
  </si>
  <si>
    <t>Renews on a new MFQ price</t>
  </si>
  <si>
    <t>Th9is is the 340 from MFQ Payments</t>
  </si>
  <si>
    <t>R2.B1.O3</t>
  </si>
  <si>
    <t>Buys elsewhere, no renewal</t>
  </si>
  <si>
    <t>Inference</t>
  </si>
  <si>
    <t>R3.B1.1</t>
  </si>
  <si>
    <t>Renewal date passes with no renewal</t>
  </si>
  <si>
    <t>Relay NewArchive</t>
  </si>
  <si>
    <t>R3.B1.2</t>
  </si>
  <si>
    <t>Lapse CRM sequence runs</t>
  </si>
  <si>
    <t>Got Lapsed ones but the volumes are 0 on policy match - should try email match?</t>
  </si>
  <si>
    <t>R3.B1.2.F1</t>
  </si>
  <si>
    <t>Unreachable on the lapse sequence</t>
  </si>
  <si>
    <t>not opened / not clicked -- or should we count bounce -- 20 ?</t>
  </si>
  <si>
    <t>R3.B1.3</t>
  </si>
  <si>
    <t>Online renewal window closes at day 7</t>
  </si>
  <si>
    <t>Relay / CRM XP</t>
  </si>
  <si>
    <t>R3.B1.4</t>
  </si>
  <si>
    <t>Phone renewal window closes at day 30</t>
  </si>
  <si>
    <t>R3.B1.O1</t>
  </si>
  <si>
    <t>Renewed inside the window</t>
  </si>
  <si>
    <t>R3.B1.O2</t>
  </si>
  <si>
    <t>Written as a new policy</t>
  </si>
  <si>
    <t>How to work this out? - Is this transfer or New business ?</t>
  </si>
  <si>
    <t>R3.B1.O3</t>
  </si>
  <si>
    <t>Lost</t>
  </si>
  <si>
    <t>R4c.B1.1</t>
  </si>
  <si>
    <t>R4c.B1.2</t>
  </si>
  <si>
    <t>KYC and mandate sent</t>
  </si>
  <si>
    <t>R4c.B1.3</t>
  </si>
  <si>
    <t>R4c.B1.4</t>
  </si>
  <si>
    <t>Joint chase, Chill and the finance provider</t>
  </si>
  <si>
    <t>R4c.B1.5</t>
  </si>
  <si>
    <t>Payment confirmed, new agreement live</t>
  </si>
  <si>
    <t>R4c.B1.O1</t>
  </si>
  <si>
    <t>Cancellation, re-setup failed</t>
  </si>
  <si>
    <t>R6.F1</t>
  </si>
  <si>
    <t>We choose Duplicate Cert issue as cause for this - delays are not identified as no data point for delivery</t>
  </si>
  <si>
    <t>R6.B1</t>
  </si>
  <si>
    <t>R4.B2.F1</t>
  </si>
  <si>
    <t>CRM EXT (SQL09)</t>
  </si>
  <si>
    <t>Chasees before customer submits is counted here -- never submitted is down below</t>
  </si>
  <si>
    <t>R4.B2.1</t>
  </si>
  <si>
    <t>R4.B2.2</t>
  </si>
  <si>
    <t>Data Team to help</t>
  </si>
  <si>
    <t xml:space="preserve">Does not look correct - but we are looking at the MyChill Upload docs and only this many records are there </t>
  </si>
  <si>
    <t>R4.B2.4</t>
  </si>
  <si>
    <t>Amber to help</t>
  </si>
  <si>
    <t>R4.B2.5</t>
  </si>
  <si>
    <t>R4.B2.3</t>
  </si>
  <si>
    <t>Mychill Status</t>
  </si>
  <si>
    <t>59 accepted / 24 rejected (rejections may be accepted eventually)</t>
  </si>
  <si>
    <t>R4.B2.O1</t>
  </si>
  <si>
    <t>R4.B2.6</t>
  </si>
  <si>
    <t>R6.B1.1</t>
  </si>
  <si>
    <t>R6.B1.2</t>
  </si>
  <si>
    <t>R6.B1.3</t>
  </si>
  <si>
    <t>R6.B1.4</t>
  </si>
  <si>
    <t>inbound call volumes do not match the duplicate cert issue (high)</t>
  </si>
  <si>
    <t>R6.B1.5</t>
  </si>
  <si>
    <t>HR0</t>
  </si>
  <si>
    <t>Renewal window opens at T-40</t>
  </si>
  <si>
    <t>RewnewalDate --&gt; policy physical --&gt; pl_rw_date</t>
  </si>
  <si>
    <t>HR0.F1</t>
  </si>
  <si>
    <t>Home Claims (Quotation Provided)</t>
  </si>
  <si>
    <t>Previous Claims brought in for pricing of the renewal offer -- Pull the volume of policies with the claims applied</t>
  </si>
  <si>
    <t>HR0.F2</t>
  </si>
  <si>
    <t>Renewal held letter issued
Counted: Held letters per renewal cycle.</t>
  </si>
  <si>
    <t>both are same</t>
  </si>
  <si>
    <t>HR0.F3</t>
  </si>
  <si>
    <t>No terms from the insurer, so no offer is made</t>
  </si>
  <si>
    <t>HR0.1</t>
  </si>
  <si>
    <t>Renewal offer presented at T-30</t>
  </si>
  <si>
    <t>Relay</t>
  </si>
  <si>
    <t xml:space="preserve">not in motor's side </t>
  </si>
  <si>
    <t>HR1a</t>
  </si>
  <si>
    <t>Nikita's ref table to be used -- Validate the Document list / / Vijay Ewan to do</t>
  </si>
  <si>
    <t>Closed</t>
  </si>
  <si>
    <t>HR1b</t>
  </si>
  <si>
    <t>HR1.E2</t>
  </si>
  <si>
    <t>Underinsurance programme</t>
  </si>
  <si>
    <t>Investigation Needed</t>
  </si>
  <si>
    <t xml:space="preserve">Proxy Genesis </t>
  </si>
  <si>
    <t>HR1.E2.F1</t>
  </si>
  <si>
    <t>The customer is underinsured at renewal</t>
  </si>
  <si>
    <t>(proxy genesys home change build cost?)</t>
  </si>
  <si>
    <t>HR2</t>
  </si>
  <si>
    <t>??</t>
  </si>
  <si>
    <t>Customer login in to portal Failure</t>
  </si>
  <si>
    <t>HR2.F1</t>
  </si>
  <si>
    <t xml:space="preserve">Genesys </t>
  </si>
  <si>
    <t xml:space="preserve">wrap codes -- try </t>
  </si>
  <si>
    <t>HR2.F2</t>
  </si>
  <si>
    <t>What is the datapoint for this?</t>
  </si>
  <si>
    <t>HR2.B1</t>
  </si>
  <si>
    <t>Online re-quote for another price</t>
  </si>
  <si>
    <t>HFQ</t>
  </si>
  <si>
    <t>301 quotes</t>
  </si>
  <si>
    <t>HR2.B1.F1</t>
  </si>
  <si>
    <t xml:space="preserve">The customer shops the renewal </t>
  </si>
  <si>
    <t>HR1.E1</t>
  </si>
  <si>
    <t>HR1.E1.F1</t>
  </si>
  <si>
    <t>HR3a</t>
  </si>
  <si>
    <t xml:space="preserve">RSS Payment -- fact renewals Channel Query returns 3684 - mismatch between RSS and online payment (Data team to confirm) -- 3683 from Fabric -- RSS or something else -- to confirm - Nikita to look at </t>
  </si>
  <si>
    <t>Shared sl_04 query.</t>
  </si>
  <si>
    <t>HR3b</t>
  </si>
  <si>
    <t xml:space="preserve">Relay </t>
  </si>
  <si>
    <t xml:space="preserve">Channel Inbound Renewed Volume is 1515 - Nikita to validate from SL04 and confirm back (We will need the list of policies)-- SL04 has extra 22 than renewals </t>
  </si>
  <si>
    <t>Shared script on chat which will provide list of policy codes.</t>
  </si>
  <si>
    <t>HR3b.F1</t>
  </si>
  <si>
    <t>HR3b and HR3b.F1 do not overlap. They are derived via different routes</t>
  </si>
  <si>
    <t>HR3.F2</t>
  </si>
  <si>
    <t>Renewal acceptance is not landing</t>
  </si>
  <si>
    <t>Looks like an observation of customer behaviour in general</t>
  </si>
  <si>
    <t>HR3.B1</t>
  </si>
  <si>
    <t>To confirm these policies lapsed</t>
  </si>
  <si>
    <t>HR3.O1</t>
  </si>
  <si>
    <t>HR4</t>
  </si>
  <si>
    <t>HR4.F1</t>
  </si>
  <si>
    <t>Payment not resolved, policy cancelled</t>
  </si>
  <si>
    <t>Insurer led cancellation - not specific to payment issues -- how to isolate?</t>
  </si>
  <si>
    <t>HR4.B2</t>
  </si>
  <si>
    <t>Strangely Day 1 is 59, Day 7 is 286 and Day 20 is 311</t>
  </si>
  <si>
    <t>HR4.B2.F1</t>
  </si>
  <si>
    <t>HR4a</t>
  </si>
  <si>
    <t>No tableau numbers supplied</t>
  </si>
  <si>
    <t>covers only online payments</t>
  </si>
  <si>
    <t>HR4b</t>
  </si>
  <si>
    <t>Code at UAT</t>
  </si>
  <si>
    <t>HR4c</t>
  </si>
  <si>
    <t>HR4c.B1</t>
  </si>
  <si>
    <t>Loan re-setup with the finance provider</t>
  </si>
  <si>
    <t>HR4c.B1.F1</t>
  </si>
  <si>
    <t>HR5</t>
  </si>
  <si>
    <t>HR6</t>
  </si>
  <si>
    <t>Operations to help out</t>
  </si>
  <si>
    <t>A List of the documents that are sent is included in the Home Renewal Documents Sheet. To be reviewed an approved</t>
  </si>
  <si>
    <t>HR6.F1</t>
  </si>
  <si>
    <t>The suitability letter barely goes out</t>
  </si>
  <si>
    <t>HR6.B1</t>
  </si>
  <si>
    <t>Policy fulfilment</t>
  </si>
  <si>
    <t>HR2.B1.1</t>
  </si>
  <si>
    <t>Re-quote started from the renewal price</t>
  </si>
  <si>
    <t>HR2.B1.2</t>
  </si>
  <si>
    <t>HR2.B1.2.F1</t>
  </si>
  <si>
    <t>HR2.B1.3</t>
  </si>
  <si>
    <t>not a data point</t>
  </si>
  <si>
    <t>HR2.B1.3.F1</t>
  </si>
  <si>
    <t xml:space="preserve">HFQ / Relay </t>
  </si>
  <si>
    <t>HR2.B1.O1</t>
  </si>
  <si>
    <t>Inference HFQ / Relay</t>
  </si>
  <si>
    <t>HR2.B1.O2</t>
  </si>
  <si>
    <t>Renews on a new price</t>
  </si>
  <si>
    <t>HR2.B1.O3</t>
  </si>
  <si>
    <t>Inference Relay</t>
  </si>
  <si>
    <t>HR3.B1.1</t>
  </si>
  <si>
    <t>HR3.B1.2</t>
  </si>
  <si>
    <t>Amber to confirm the CRM sequence</t>
  </si>
  <si>
    <t>HR3.B1.2.F1</t>
  </si>
  <si>
    <t>HR3.B1.O1</t>
  </si>
  <si>
    <t>HR3.B1.O2</t>
  </si>
  <si>
    <t>no report data supplied. Rebooked definition is not aligned with this. So need to investigate</t>
  </si>
  <si>
    <t>HR3.B1.O3</t>
  </si>
  <si>
    <t>HR4c.B1.1</t>
  </si>
  <si>
    <t>HR4c.B1.2</t>
  </si>
  <si>
    <t>HR4c.B1.3</t>
  </si>
  <si>
    <t>HR4c.B1.4</t>
  </si>
  <si>
    <t>Chase on the mandate</t>
  </si>
  <si>
    <t>HR4c.B1.5</t>
  </si>
  <si>
    <t>HR4c.B1.O1</t>
  </si>
  <si>
    <t>HR4.B2.1</t>
  </si>
  <si>
    <t>HR4.B2.2</t>
  </si>
  <si>
    <t>HR4.B2.4</t>
  </si>
  <si>
    <t>HR4.B2.5</t>
  </si>
  <si>
    <t>HR4.B2.3</t>
  </si>
  <si>
    <t>HR4.B2.O1</t>
  </si>
  <si>
    <t>HR4.B2.6</t>
  </si>
  <si>
    <t>23 validated / 18 accepted 5 rejected</t>
  </si>
  <si>
    <t>HR6.B1.1</t>
  </si>
  <si>
    <t>HR6.B1.2</t>
  </si>
  <si>
    <t>HR6.B1.3</t>
  </si>
  <si>
    <t>no data points</t>
  </si>
  <si>
    <t>HR6.B1.4</t>
  </si>
  <si>
    <t>the calls are not linkable positively</t>
  </si>
  <si>
    <t>HR6.B1.5</t>
  </si>
  <si>
    <t>ACQUISITION</t>
  </si>
  <si>
    <t>HA0.C</t>
  </si>
  <si>
    <t>HA1</t>
  </si>
  <si>
    <r>
      <t xml:space="preserve">Nikita has supplied the query / the split between retrieved type to be confirmed back  - (total quotes is 15019 not split by retrieval type). </t>
    </r>
    <r>
      <rPr>
        <strike/>
        <sz val="11"/>
        <color theme="1"/>
        <rFont val="Aptos Narrow"/>
        <family val="2"/>
        <scheme val="minor"/>
      </rPr>
      <t xml:space="preserve">Quotes double counted in HFQ_Phase2. </t>
    </r>
    <r>
      <rPr>
        <sz val="11"/>
        <color theme="1"/>
        <rFont val="Aptos Narrow"/>
        <family val="2"/>
        <scheme val="minor"/>
      </rPr>
      <t>Checking with Nikita - / Vijay Ewan to do</t>
    </r>
  </si>
  <si>
    <t>Shared query on chat to build total totqts from ods</t>
  </si>
  <si>
    <t xml:space="preserve">Same Quote appearing on multiple days counted for each session ImpervaSessionId </t>
  </si>
  <si>
    <t>HA1.E1</t>
  </si>
  <si>
    <t>HA1.E2</t>
  </si>
  <si>
    <t>No tableau numbers</t>
  </si>
  <si>
    <t>HA1.F1</t>
  </si>
  <si>
    <t>Outbound campaigns to quotes that never got a price</t>
  </si>
  <si>
    <t>HFQ/CRM XP</t>
  </si>
  <si>
    <t>HA0</t>
  </si>
  <si>
    <t>WebAssist is 343 (in addition) / Unique in Fabric - Nikita to check transformation steps / Data team to review code and confirm - WebAssist derivation?</t>
  </si>
  <si>
    <t>-- Online quotees who call call centre are excluded (match based on phone number in hfq quote details table)</t>
  </si>
  <si>
    <t>HA0.F1</t>
  </si>
  <si>
    <t>HA2</t>
  </si>
  <si>
    <t>HA2.F1</t>
  </si>
  <si>
    <t>HA2.E1</t>
  </si>
  <si>
    <t>TYR Campaign</t>
  </si>
  <si>
    <t>vijay - amended query and numbers</t>
  </si>
  <si>
    <t>HA3</t>
  </si>
  <si>
    <t>HA3.B1</t>
  </si>
  <si>
    <t>Different customers go through different number of cycles. Not a single number</t>
  </si>
  <si>
    <t>HA3.B1.F1</t>
  </si>
  <si>
    <t>Number of cycles through HA1 to HA3</t>
  </si>
  <si>
    <t>HA3.F1</t>
  </si>
  <si>
    <t xml:space="preserve">4600 quotes / 3531 emails </t>
  </si>
  <si>
    <t>HA4a</t>
  </si>
  <si>
    <t>HFQ Payments</t>
  </si>
  <si>
    <t>10978 (asked for the price / quote) HFQ_Sales + HFQ_Scheme + HFQ_Quote - ResponseResponse* 4 tables joined) - / Vijay Ewan to do</t>
  </si>
  <si>
    <t>HA4b</t>
  </si>
  <si>
    <t>Nikita would extract the logic to calculate sales for BO and WebAssist - - use that INBOUND genesys logic</t>
  </si>
  <si>
    <t>HA4.F1</t>
  </si>
  <si>
    <t>Relay newarchive - HFQ Inference</t>
  </si>
  <si>
    <t>Shared on chat logic for channel</t>
  </si>
  <si>
    <t>HA4b.O1</t>
  </si>
  <si>
    <t>Genesys / Relay Inference</t>
  </si>
  <si>
    <t>HA5</t>
  </si>
  <si>
    <t>online payments only are counted (call centre payments not available)</t>
  </si>
  <si>
    <t>HA5.F1</t>
  </si>
  <si>
    <t>Payment attempted with friction</t>
  </si>
  <si>
    <t>HA5.B1</t>
  </si>
  <si>
    <t>Payment and loan setup</t>
  </si>
  <si>
    <t>HA5.B1.F1</t>
  </si>
  <si>
    <t>HA5.B1.PC</t>
  </si>
  <si>
    <t xml:space="preserve">Payment and loan setup
HOME_PAYMENT_SETUP_PC. </t>
  </si>
  <si>
    <t>HA5.F2</t>
  </si>
  <si>
    <t>No smartphone, so document upload falls back to a manual process</t>
  </si>
  <si>
    <t>No data point for this</t>
  </si>
  <si>
    <t>HA5.1</t>
  </si>
  <si>
    <t>Terms of business sent</t>
  </si>
  <si>
    <t>HA6</t>
  </si>
  <si>
    <t>Spoken to Bryan and Gavin - No document requested other than any valuation report for high ticket items mentioned in the contents insurance. And this is not in the documents list
USING THE exp Campaign (new entries later than Day 1 query - so included the whole lot here )</t>
  </si>
  <si>
    <t xml:space="preserve">Shared on chat - Home, Motor, and Van chase diary list , table name , join criteria and SP for more details. Rapier to confirm the diary names with Darragh. </t>
  </si>
  <si>
    <t>HA6.F1</t>
  </si>
  <si>
    <t>Number of chases before the customer submits</t>
  </si>
  <si>
    <t>HA6.B1</t>
  </si>
  <si>
    <t>Nikita - to provide document diary logic / / Vijay Ewan to do</t>
  </si>
  <si>
    <t>HA6.B1.F1</t>
  </si>
  <si>
    <t>Documents never submitted, policy at risk of cancellation</t>
  </si>
  <si>
    <t>HA7</t>
  </si>
  <si>
    <t>HA7.B1</t>
  </si>
  <si>
    <t>HA7.F1</t>
  </si>
  <si>
    <t>HA7.B1.1</t>
  </si>
  <si>
    <t>HA7.B1.2</t>
  </si>
  <si>
    <t>HA3.B1.1</t>
  </si>
  <si>
    <t>Quote retrieved and iterated</t>
  </si>
  <si>
    <t>No data point</t>
  </si>
  <si>
    <t>HA3.B1.2</t>
  </si>
  <si>
    <t>HA3.B1.O1</t>
  </si>
  <si>
    <t>HA5.B1.1</t>
  </si>
  <si>
    <t>Loan or Direct Debit initiated with the finance provider</t>
  </si>
  <si>
    <t>HA5.B1.2</t>
  </si>
  <si>
    <t>HA5.B1.3</t>
  </si>
  <si>
    <t>HA5.B1.4</t>
  </si>
  <si>
    <t>HA5.B1.5</t>
  </si>
  <si>
    <t>HA5.B1.O1</t>
  </si>
  <si>
    <t>HA5.B1.O2</t>
  </si>
  <si>
    <t>HA6.B1.1</t>
  </si>
  <si>
    <t>HA6.B1.2</t>
  </si>
  <si>
    <t>HA6.B1.4</t>
  </si>
  <si>
    <t>Document chase is derived from edw.EXT_XP*_MotorVan for motor and Van and edw.EXT_XP*_Home for home. Day 1 is the initial send / Day 20 is the last send. Ignore the middle Day 7 and Day 14</t>
  </si>
  <si>
    <t>HA6.B1.5</t>
  </si>
  <si>
    <t>254 / 93</t>
  </si>
  <si>
    <t>93 the final notice group</t>
  </si>
  <si>
    <t>HA6.B1.3</t>
  </si>
  <si>
    <t>HA6.B1.O1</t>
  </si>
  <si>
    <t>HA6.B1.6</t>
  </si>
  <si>
    <t>HA7.B1.3</t>
  </si>
  <si>
    <t>HA7.B1.4</t>
  </si>
  <si>
    <t>HA7.B1.5</t>
  </si>
  <si>
    <t>HM0</t>
  </si>
  <si>
    <t>One type can start online, four cannot</t>
  </si>
  <si>
    <t>HM0.1</t>
  </si>
  <si>
    <t>Customer looks for the change online</t>
  </si>
  <si>
    <t>HM0.1.F1</t>
  </si>
  <si>
    <t>Only one type in five can be done online</t>
  </si>
  <si>
    <t>HM1</t>
  </si>
  <si>
    <t>Customer contacts Chill with a change request</t>
  </si>
  <si>
    <t>HM1.F1</t>
  </si>
  <si>
    <t>HM2</t>
  </si>
  <si>
    <t>Agent quotes the new premium and fee</t>
  </si>
  <si>
    <t>Inference - No hard datapoint</t>
  </si>
  <si>
    <t>HM2.F1</t>
  </si>
  <si>
    <t>The change costs more than the customer expected</t>
  </si>
  <si>
    <t>HM2.O1</t>
  </si>
  <si>
    <t>Cancellation, declined or not proceeded with</t>
  </si>
  <si>
    <t>HM3</t>
  </si>
  <si>
    <t>NewArchive has premium / fees at transaction level</t>
  </si>
  <si>
    <t>total policies (when a policy has more than one mta in a window, it counts them as 1)</t>
  </si>
  <si>
    <t>HM4.B1</t>
  </si>
  <si>
    <t>HM4.B1.F1</t>
  </si>
  <si>
    <t>HM4</t>
  </si>
  <si>
    <t>Money due on the change</t>
  </si>
  <si>
    <t>This is both refunds and payments. So net figures are supplied</t>
  </si>
  <si>
    <t>HM4.F1</t>
  </si>
  <si>
    <t>Payment taken reads nothing</t>
  </si>
  <si>
    <t>HM4a</t>
  </si>
  <si>
    <t>Paid now</t>
  </si>
  <si>
    <t>HM4b</t>
  </si>
  <si>
    <t>Added to the monthly schedule</t>
  </si>
  <si>
    <t>HM4c</t>
  </si>
  <si>
    <t>No money moves</t>
  </si>
  <si>
    <t>HM4b.B1</t>
  </si>
  <si>
    <t>Payment schedule change</t>
  </si>
  <si>
    <t>HM4b.B1.F1</t>
  </si>
  <si>
    <t>Schedule change not processed</t>
  </si>
  <si>
    <t>HM5</t>
  </si>
  <si>
    <t>NewArchive - Inference</t>
  </si>
  <si>
    <t>HM5.F1</t>
  </si>
  <si>
    <t>No confirmation that the change went through</t>
  </si>
  <si>
    <t>No explicit confirmations that we can see</t>
  </si>
  <si>
    <t>HM6</t>
  </si>
  <si>
    <t>Policy documents reissued</t>
  </si>
  <si>
    <t>HM6.F1</t>
  </si>
  <si>
    <t>HM6.B1</t>
  </si>
  <si>
    <t xml:space="preserve">unless we check if any data items changed across policy data </t>
  </si>
  <si>
    <t>HM.V1</t>
  </si>
  <si>
    <t>Property or contents change</t>
  </si>
  <si>
    <t>HM.V2</t>
  </si>
  <si>
    <t>Address change</t>
  </si>
  <si>
    <t>HM.V3</t>
  </si>
  <si>
    <t>Occupancy or tenancy change</t>
  </si>
  <si>
    <t>HM.V4</t>
  </si>
  <si>
    <t>Security or renovation change</t>
  </si>
  <si>
    <t>HM.V5</t>
  </si>
  <si>
    <t>Named insured add or remove</t>
  </si>
  <si>
    <t>HM.V6</t>
  </si>
  <si>
    <t>HM.V0</t>
  </si>
  <si>
    <t>The type list needs confirming</t>
  </si>
  <si>
    <t>HM4b.B1.1</t>
  </si>
  <si>
    <t>Payment schedule change requested</t>
  </si>
  <si>
    <t>Loans?</t>
  </si>
  <si>
    <t>HM4b.B1.2</t>
  </si>
  <si>
    <t>Schedule change processed by the finance provider</t>
  </si>
  <si>
    <t>HM4.B1.1</t>
  </si>
  <si>
    <t>0 / 28</t>
  </si>
  <si>
    <t>The Motor / Home logic applied and nothing returns / using the chase logic we get 28</t>
  </si>
  <si>
    <t>HM4.B1.2</t>
  </si>
  <si>
    <t>HM4.B1.4</t>
  </si>
  <si>
    <t>HM4.B1.5</t>
  </si>
  <si>
    <t>HM4.B1.3</t>
  </si>
  <si>
    <t>HM4.B1.O1</t>
  </si>
  <si>
    <t>Total CXL is 18 / MTA cXL is 1</t>
  </si>
  <si>
    <t>HM4.B1.6</t>
  </si>
  <si>
    <t>HM6.B1.1</t>
  </si>
  <si>
    <t>HM6.B1.2</t>
  </si>
  <si>
    <t>HM6.B1.3</t>
  </si>
  <si>
    <t>HM6.B1.4</t>
  </si>
  <si>
    <t>Connection logic pulls a lot more calls</t>
  </si>
  <si>
    <t>HM6.B1.5</t>
  </si>
  <si>
    <t>CANCELLATION</t>
  </si>
  <si>
    <t>HC0</t>
  </si>
  <si>
    <t>Where this journey starts</t>
  </si>
  <si>
    <t>HC1a</t>
  </si>
  <si>
    <t>Customer asks to cancel</t>
  </si>
  <si>
    <t>HC1a.F1</t>
  </si>
  <si>
    <t>No retention or save attempt anywhere</t>
  </si>
  <si>
    <t>HC1b</t>
  </si>
  <si>
    <t>Trigger detected</t>
  </si>
  <si>
    <t>Think other episodes can be linked into this ?</t>
  </si>
  <si>
    <t>HC1b.F1</t>
  </si>
  <si>
    <t>The framework says NCT failure</t>
  </si>
  <si>
    <t>HC2</t>
  </si>
  <si>
    <t>Document chase, reminder</t>
  </si>
  <si>
    <t>HC3</t>
  </si>
  <si>
    <t>Document chase, escalation</t>
  </si>
  <si>
    <t>HC3.F1</t>
  </si>
  <si>
    <t>The notices may never reach the customer</t>
  </si>
  <si>
    <t>HC4</t>
  </si>
  <si>
    <t>Final notice</t>
  </si>
  <si>
    <t>HC4.F1</t>
  </si>
  <si>
    <t>Final notices far outrun cancellations</t>
  </si>
  <si>
    <t>HC4.O1</t>
  </si>
  <si>
    <t>Conditions met, restored</t>
  </si>
  <si>
    <t>Derivation logic needed</t>
  </si>
  <si>
    <t>HC5</t>
  </si>
  <si>
    <t>HC6</t>
  </si>
  <si>
    <t>HC7</t>
  </si>
  <si>
    <t>NewArchive</t>
  </si>
  <si>
    <t>Logic to be worked out  - Journal Refunds look appropriate</t>
  </si>
  <si>
    <t>HC7.F1</t>
  </si>
  <si>
    <t>Refund not received, or the amount is disputed</t>
  </si>
  <si>
    <t xml:space="preserve">Logic to be worked out </t>
  </si>
  <si>
    <t>HC.O1</t>
  </si>
  <si>
    <t>Reinstated, cancellation reversed</t>
  </si>
  <si>
    <t>HC.IN1</t>
  </si>
  <si>
    <t>Upstream feed: Acquisition</t>
  </si>
  <si>
    <t>Episodes</t>
  </si>
  <si>
    <t>Should join  with each of these episodes and pick the policies that get cancelled and counted (will be done but focusing on reconciliation of the individual data points that the connections for now)</t>
  </si>
  <si>
    <t>HC.IN2</t>
  </si>
  <si>
    <t>HC.IN3</t>
  </si>
  <si>
    <t>Upstream feed: Renewal</t>
  </si>
  <si>
    <t>HC.IN4</t>
  </si>
  <si>
    <t>HC.IN5</t>
  </si>
  <si>
    <t>Upstream feed: MTA</t>
  </si>
  <si>
    <t>HC.IN6</t>
  </si>
  <si>
    <t>Upstream feed: Arrears</t>
  </si>
  <si>
    <t>HC.IN7</t>
  </si>
  <si>
    <t>Upstream feed: Claims</t>
  </si>
  <si>
    <t>ARREARS</t>
  </si>
  <si>
    <t>HARR.0</t>
  </si>
  <si>
    <t>Who enters this journey</t>
  </si>
  <si>
    <t>HARR.1</t>
  </si>
  <si>
    <t>HARR.2</t>
  </si>
  <si>
    <t>Arrears chase</t>
  </si>
  <si>
    <t>HARR.O1</t>
  </si>
  <si>
    <t>Arrears cleared</t>
  </si>
  <si>
    <t>CRM XP Inference</t>
  </si>
  <si>
    <t>HARR.B1</t>
  </si>
  <si>
    <t>Pay in full to clear</t>
  </si>
  <si>
    <t>HARR.B1.F1</t>
  </si>
  <si>
    <t>Cannot raise the lump sum</t>
  </si>
  <si>
    <t>HARR.3</t>
  </si>
  <si>
    <t>Loan defaults, arrears not cleared</t>
  </si>
  <si>
    <t>HARR.B2</t>
  </si>
  <si>
    <t>HARR.B2.F1</t>
  </si>
  <si>
    <t>HARR.4</t>
  </si>
  <si>
    <t>Default chase and final notice</t>
  </si>
  <si>
    <t>HARR.F1</t>
  </si>
  <si>
    <t>Arrears never cleared</t>
  </si>
  <si>
    <t>HARR.O2</t>
  </si>
  <si>
    <t>Escalation to forced cancellation</t>
  </si>
  <si>
    <t>HARR.B1.1</t>
  </si>
  <si>
    <t>Customer calls to settle the loan</t>
  </si>
  <si>
    <t>HARR.B1.2</t>
  </si>
  <si>
    <t>Payment taken, loan closed</t>
  </si>
  <si>
    <t>HARR.B1.O1</t>
  </si>
  <si>
    <t>CLAIMS</t>
  </si>
  <si>
    <t>HCL0</t>
  </si>
  <si>
    <t>What this spine is for</t>
  </si>
  <si>
    <t>Window for recording is just July month only</t>
  </si>
  <si>
    <t>HCL1a</t>
  </si>
  <si>
    <t>Home claim reported</t>
  </si>
  <si>
    <t>Genesys / Relay</t>
  </si>
  <si>
    <t>HCL1b</t>
  </si>
  <si>
    <t>Escape of water or emergency assistance</t>
  </si>
  <si>
    <t>Renewal Quotes</t>
  </si>
  <si>
    <t>No data point identified for storing the claims as they are reported</t>
  </si>
  <si>
    <t>HCL1c</t>
  </si>
  <si>
    <t>Storm, flood or weather claim</t>
  </si>
  <si>
    <t>HCL2</t>
  </si>
  <si>
    <t>Handed to the insurer or the provider</t>
  </si>
  <si>
    <t>placeholder</t>
  </si>
  <si>
    <t>Insurer numbers to be identified to count the transfers</t>
  </si>
  <si>
    <t>HCL3</t>
  </si>
  <si>
    <t>Claim runs, invisible to Chill</t>
  </si>
  <si>
    <t>HCL3.F1</t>
  </si>
  <si>
    <t>Nobody tells the customer anything</t>
  </si>
  <si>
    <t>HCL4</t>
  </si>
  <si>
    <t>Policy continues with a claim on it</t>
  </si>
  <si>
    <t>HCL4.F1</t>
  </si>
  <si>
    <t>The renewal price moves because of the claim</t>
  </si>
  <si>
    <t>HCL.O1</t>
  </si>
  <si>
    <t>Renewed with the claim priced in</t>
  </si>
  <si>
    <t>HCL.O2</t>
  </si>
  <si>
    <t>Policy ended</t>
  </si>
  <si>
    <t>HD0</t>
  </si>
  <si>
    <t>No online route</t>
  </si>
  <si>
    <t>HD1</t>
  </si>
  <si>
    <t>Customer rings and asks for a document</t>
  </si>
  <si>
    <t>Customer phone numbers tracked to ClientCode and then to policy type group -- quite fuzzy</t>
  </si>
  <si>
    <t>HD1.F1</t>
  </si>
  <si>
    <t>still counting only abandoned</t>
  </si>
  <si>
    <t>HD2</t>
  </si>
  <si>
    <t>Agent locates and sends the document</t>
  </si>
  <si>
    <t>Document list attached in DOCREQUEST sheet / To be reviewed by Chill</t>
  </si>
  <si>
    <t>HD2.F1</t>
  </si>
  <si>
    <t>The document has to come from the insurer</t>
  </si>
  <si>
    <t>Chill Business</t>
  </si>
  <si>
    <t>Document list attached in DOCREQUEST sheet / To be reviewed by Chill and confirmed</t>
  </si>
  <si>
    <t>HD3</t>
  </si>
  <si>
    <t>Customer receives it</t>
  </si>
  <si>
    <t>HD3.F1</t>
  </si>
  <si>
    <t>Non-arrival, and the customer rings again</t>
  </si>
  <si>
    <t>HD3.F2</t>
  </si>
  <si>
    <t>The same document downloaded again and again</t>
  </si>
  <si>
    <t>HD.V1</t>
  </si>
  <si>
    <t>Certificate or proof of cover</t>
  </si>
  <si>
    <t>HD.V2</t>
  </si>
  <si>
    <t>Policy schedule or wording</t>
  </si>
  <si>
    <t>HD.V3</t>
  </si>
  <si>
    <t>Claims history evidence</t>
  </si>
  <si>
    <t>HD.V4</t>
  </si>
  <si>
    <t>Named insured evidence</t>
  </si>
  <si>
    <t>HD.V5</t>
  </si>
  <si>
    <t>Letter of indemnity</t>
  </si>
  <si>
    <t>HD.V6</t>
  </si>
  <si>
    <t>Direct Debit schedule or payment evidence</t>
  </si>
  <si>
    <t>HAP.1</t>
  </si>
  <si>
    <t>Additional or return premium</t>
  </si>
  <si>
    <t>M0</t>
  </si>
  <si>
    <t>M0.1</t>
  </si>
  <si>
    <t>M0.1.F1</t>
  </si>
  <si>
    <t>They wanted to do it online and cannot</t>
  </si>
  <si>
    <t>M1</t>
  </si>
  <si>
    <t>Customer calls Chill with a change request</t>
  </si>
  <si>
    <t>M1.F1</t>
  </si>
  <si>
    <t>M2</t>
  </si>
  <si>
    <t>M2.F1</t>
  </si>
  <si>
    <t>M2.O1</t>
  </si>
  <si>
    <t>inference</t>
  </si>
  <si>
    <t>M3</t>
  </si>
  <si>
    <t>Relay MTA History</t>
  </si>
  <si>
    <t>Number of policies General Adjustment 4379  + rest 892 (MTA is limited to add driver / vehicle / substitution and reversals of the same + amend NCD) / /  Duplicate cert / reinstate after cancel &amp; suspension / amend NCD are all excluded</t>
  </si>
  <si>
    <t>M3.B1</t>
  </si>
  <si>
    <t>M3.B1.F1</t>
  </si>
  <si>
    <t>M4</t>
  </si>
  <si>
    <t>Number of policies (MTA is limited to add driver / vehicle / substitution and reversals of the same + amend NCD) / General Adjustment /  Duplicate cert / reinstate after cancel &amp; suspension / amend NCD are all excluded</t>
  </si>
  <si>
    <t>M4.F1</t>
  </si>
  <si>
    <t>M4a</t>
  </si>
  <si>
    <t>Number of policies (MTA is limited to add driver / vehicle / substitution and reversals of the same + amend NCD) / General Adjustment /  Duplicate cert / reinstate after cancel &amp; suspension / amend NCD are all excluded
892 are fee paying policies for the above specific MTAs
1770 had been sent Receipts for payment. .which one to take?</t>
  </si>
  <si>
    <t>M4b</t>
  </si>
  <si>
    <t>M4c</t>
  </si>
  <si>
    <t>Return premium</t>
  </si>
  <si>
    <t>M4b.B1</t>
  </si>
  <si>
    <t>M4b.B1.F1</t>
  </si>
  <si>
    <t>M4b.B1.1</t>
  </si>
  <si>
    <t>M4b.B1.2</t>
  </si>
  <si>
    <t>M5</t>
  </si>
  <si>
    <t>MTA - Nikita to confirm the number of MTAs (nothing else gets reported but the details are in the RBSDATA2_MTA_History with a logic to split by type)</t>
  </si>
  <si>
    <t>M5.F1</t>
  </si>
  <si>
    <t>No confirmation that the MTA was processed</t>
  </si>
  <si>
    <t>M6</t>
  </si>
  <si>
    <t>2690 Policies with Cert posted</t>
  </si>
  <si>
    <t>M6.F1</t>
  </si>
  <si>
    <t>M6.B1</t>
  </si>
  <si>
    <t>M.V1</t>
  </si>
  <si>
    <t>Vehicle change</t>
  </si>
  <si>
    <t>M.V2</t>
  </si>
  <si>
    <t>Named driver add or remove</t>
  </si>
  <si>
    <t>M.V3</t>
  </si>
  <si>
    <t>Licence update</t>
  </si>
  <si>
    <t>M.V4</t>
  </si>
  <si>
    <t>General Adjustment</t>
  </si>
  <si>
    <t>M.V5</t>
  </si>
  <si>
    <t>Personal detail change</t>
  </si>
  <si>
    <t>M.V6</t>
  </si>
  <si>
    <t>M3.B1.1</t>
  </si>
  <si>
    <t>M3.B1.2</t>
  </si>
  <si>
    <t>M3.B1.4</t>
  </si>
  <si>
    <t>M3.B1.5</t>
  </si>
  <si>
    <t>CRM XP / Relay Events</t>
  </si>
  <si>
    <t>M3.B1.3</t>
  </si>
  <si>
    <t>M3.B1.O1</t>
  </si>
  <si>
    <t>M3.B1.6</t>
  </si>
  <si>
    <t>62 passed / 17 failed</t>
  </si>
  <si>
    <t>M6.B1.1</t>
  </si>
  <si>
    <t>M6.B1.2</t>
  </si>
  <si>
    <t>M6.B1.3</t>
  </si>
  <si>
    <t>M6.B1.4</t>
  </si>
  <si>
    <t>M6.B1.5</t>
  </si>
  <si>
    <t>C0</t>
  </si>
  <si>
    <t>C1a</t>
  </si>
  <si>
    <t>C1a.F1</t>
  </si>
  <si>
    <t>C1b</t>
  </si>
  <si>
    <t>C1b.IN1</t>
  </si>
  <si>
    <t>Arrears escalation</t>
  </si>
  <si>
    <t>C2</t>
  </si>
  <si>
    <t>C3</t>
  </si>
  <si>
    <t>C3.F1</t>
  </si>
  <si>
    <t>C4</t>
  </si>
  <si>
    <t>C4.O1</t>
  </si>
  <si>
    <t>C5</t>
  </si>
  <si>
    <t>C5.O1</t>
  </si>
  <si>
    <t>Derivation</t>
  </si>
  <si>
    <t>C5.E1</t>
  </si>
  <si>
    <t>Retention or save attempt</t>
  </si>
  <si>
    <t>C6</t>
  </si>
  <si>
    <t>C7</t>
  </si>
  <si>
    <t>C7.F1</t>
  </si>
  <si>
    <t>ARR.0</t>
  </si>
  <si>
    <t>ARR.1</t>
  </si>
  <si>
    <t>ARR.2</t>
  </si>
  <si>
    <t>Arrears chase, automated</t>
  </si>
  <si>
    <t>ARR.O1</t>
  </si>
  <si>
    <t>ARR.B1</t>
  </si>
  <si>
    <t>ARR.B1.F1</t>
  </si>
  <si>
    <t>ARR.3</t>
  </si>
  <si>
    <t>ARR.B2</t>
  </si>
  <si>
    <t>ARR.B2.F1</t>
  </si>
  <si>
    <t>ARR.4</t>
  </si>
  <si>
    <t>Default chase, Chill outbound and final notice</t>
  </si>
  <si>
    <t>ARR.F1</t>
  </si>
  <si>
    <t>ARR.O2</t>
  </si>
  <si>
    <t>ARR.B1.1</t>
  </si>
  <si>
    <t>Potentially -- Inbound Payments</t>
  </si>
  <si>
    <t>ARR.B1.2</t>
  </si>
  <si>
    <t>ARR.B1.O1</t>
  </si>
  <si>
    <t>IL1</t>
  </si>
  <si>
    <t>Risk validation flags a discrepancy</t>
  </si>
  <si>
    <t>IL2</t>
  </si>
  <si>
    <t>Customer notified of the repricing</t>
  </si>
  <si>
    <t>IL3</t>
  </si>
  <si>
    <t>Customer response, the additional premium cannot be declined</t>
  </si>
  <si>
    <t>IL4</t>
  </si>
  <si>
    <t>IL.O1</t>
  </si>
  <si>
    <t>Return premium reversed</t>
  </si>
  <si>
    <t>IL.O2</t>
  </si>
  <si>
    <t>Cancellation, additional premium unresolved</t>
  </si>
  <si>
    <t>CL0</t>
  </si>
  <si>
    <t>CL1a</t>
  </si>
  <si>
    <t>Motor claim reported</t>
  </si>
  <si>
    <t>CL1b</t>
  </si>
  <si>
    <t>CL1c</t>
  </si>
  <si>
    <t>CL2</t>
  </si>
  <si>
    <t>CL3</t>
  </si>
  <si>
    <t>CL3.F1</t>
  </si>
  <si>
    <t>CL4</t>
  </si>
  <si>
    <t>CL4.F1</t>
  </si>
  <si>
    <t>CL.O1</t>
  </si>
  <si>
    <t>CL.O2</t>
  </si>
  <si>
    <t>D0</t>
  </si>
  <si>
    <t>D1</t>
  </si>
  <si>
    <t>D1.F1</t>
  </si>
  <si>
    <t>D2</t>
  </si>
  <si>
    <t>D2.F1</t>
  </si>
  <si>
    <t>The document cannot be produced by Chill</t>
  </si>
  <si>
    <t>D3</t>
  </si>
  <si>
    <t>D3.F1</t>
  </si>
  <si>
    <t>D3.F2</t>
  </si>
  <si>
    <t>D.V1</t>
  </si>
  <si>
    <t>Replacement cert and disc</t>
  </si>
  <si>
    <t>D.V2</t>
  </si>
  <si>
    <t>Proof of no claims bonus</t>
  </si>
  <si>
    <t>D.V3</t>
  </si>
  <si>
    <t>D.V4</t>
  </si>
  <si>
    <t>D.V5</t>
  </si>
  <si>
    <t>Named driver evidence</t>
  </si>
  <si>
    <t>D.V6</t>
  </si>
  <si>
    <t>Copy policy documents</t>
  </si>
  <si>
    <t>VR0</t>
  </si>
  <si>
    <t>VR0.1</t>
  </si>
  <si>
    <t>VR1a</t>
  </si>
  <si>
    <t>SL14</t>
  </si>
  <si>
    <t>VR1b</t>
  </si>
  <si>
    <t>VR1.E1</t>
  </si>
  <si>
    <t>This covers renewals across three months / 2721 mails + sms</t>
  </si>
  <si>
    <t>VR1.E1.F1</t>
  </si>
  <si>
    <t>The programme is all we can see</t>
  </si>
  <si>
    <t>VR2.F1</t>
  </si>
  <si>
    <t>VR2.B1</t>
  </si>
  <si>
    <t>SL13</t>
  </si>
  <si>
    <t>Van Quotes</t>
  </si>
  <si>
    <t xml:space="preserve">vehicle reg or scv link? </t>
  </si>
  <si>
    <t>VR2.B1.F1</t>
  </si>
  <si>
    <t>The customer shops the renewal at all</t>
  </si>
  <si>
    <t>VR2</t>
  </si>
  <si>
    <t>RSS</t>
  </si>
  <si>
    <t>applied renewal counts - similar to motor / home - Nikita to supply the query</t>
  </si>
  <si>
    <t>Shared code and logic on chat.</t>
  </si>
  <si>
    <t>VR3a</t>
  </si>
  <si>
    <t>check on the payment failures (RSS failures) / check on attempts too - Nikita to supply the query</t>
  </si>
  <si>
    <t xml:space="preserve">Shared logic for 599 success payment. </t>
  </si>
  <si>
    <t>VR3b</t>
  </si>
  <si>
    <t>Nikita to supply the query</t>
  </si>
  <si>
    <t>Shared sl_04 channel query - Rapier to confirm with business</t>
  </si>
  <si>
    <t>VR3b.F1</t>
  </si>
  <si>
    <t>VR3.F2</t>
  </si>
  <si>
    <t>VR3.B1</t>
  </si>
  <si>
    <t>VR3.O1</t>
  </si>
  <si>
    <t>VR4</t>
  </si>
  <si>
    <t>No data point for call centre</t>
  </si>
  <si>
    <t xml:space="preserve">Nikita to supply the query and number? </t>
  </si>
  <si>
    <t>VR4.F1</t>
  </si>
  <si>
    <t>The whole payment journey is blank</t>
  </si>
  <si>
    <t>VR4.B2</t>
  </si>
  <si>
    <t>12 / 751</t>
  </si>
  <si>
    <t>Relay Events / CRM XP</t>
  </si>
  <si>
    <t>Very Low Volume from Relay Events (12)  - Not sure if this is correct - someone from Chill to validate</t>
  </si>
  <si>
    <t>VR4.B2.F1</t>
  </si>
  <si>
    <t xml:space="preserve">Chases </t>
  </si>
  <si>
    <t>VR4c</t>
  </si>
  <si>
    <t>VR4c.B1</t>
  </si>
  <si>
    <t xml:space="preserve">finance similar to motor - - Nikita to supply the query and number? </t>
  </si>
  <si>
    <t xml:space="preserve">DD or Full can be pulled from same tables shared for Motor and Home. </t>
  </si>
  <si>
    <t>VR4c.B1.F1</t>
  </si>
  <si>
    <t>VR5</t>
  </si>
  <si>
    <t>VR6</t>
  </si>
  <si>
    <t>Relay Events missing for Renewal Confirmation for Van</t>
  </si>
  <si>
    <t>VR6.F1</t>
  </si>
  <si>
    <t>Cert or disc not arrived, customer chases</t>
  </si>
  <si>
    <t>Inbound calls do not tally with the volume sent again (quite high - so it could be calls for other reasons?)</t>
  </si>
  <si>
    <t>VR6.B1</t>
  </si>
  <si>
    <t>VR2.B1.1</t>
  </si>
  <si>
    <t>No data point from MFQ?</t>
  </si>
  <si>
    <t>Why MFQ? This is Van</t>
  </si>
  <si>
    <t>VR2.B1.2</t>
  </si>
  <si>
    <t>VR2.B1.2.F1</t>
  </si>
  <si>
    <t>VR2.B1.O1</t>
  </si>
  <si>
    <t>VR2.B1.O2</t>
  </si>
  <si>
    <t>VR2.B1.O3</t>
  </si>
  <si>
    <t>VR3.B1.1</t>
  </si>
  <si>
    <t>VR3.B1.2</t>
  </si>
  <si>
    <t>VR3.B1.2.F1</t>
  </si>
  <si>
    <t>VR3.B1.O1</t>
  </si>
  <si>
    <t>VR3.B1.O2</t>
  </si>
  <si>
    <t>VR3.B1.O3</t>
  </si>
  <si>
    <t>VR4c.B1.1</t>
  </si>
  <si>
    <t>VR4c.B1.2</t>
  </si>
  <si>
    <t>VR4c.B1.3</t>
  </si>
  <si>
    <t>VR4c.B1.4</t>
  </si>
  <si>
    <t>VR4c.B1.5</t>
  </si>
  <si>
    <t>VR4c.B1.O1</t>
  </si>
  <si>
    <t>VR4.B2.1</t>
  </si>
  <si>
    <t>Relay events are missing the doc requst</t>
  </si>
  <si>
    <t>VR4.B2.2</t>
  </si>
  <si>
    <t>Volume is too low -- this is a gap or Van docs follow a different route</t>
  </si>
  <si>
    <t>VR4.B2.4</t>
  </si>
  <si>
    <t>VR4.B2.5</t>
  </si>
  <si>
    <t>VR4.B2.3</t>
  </si>
  <si>
    <t>VR4.B2.O1</t>
  </si>
  <si>
    <t>VR4.B2.6</t>
  </si>
  <si>
    <t>VR6.B1.1</t>
  </si>
  <si>
    <t>Printed CD is 1203 and emailed CD is 1051</t>
  </si>
  <si>
    <t>VR6.B1.2</t>
  </si>
  <si>
    <t>Data Missing</t>
  </si>
  <si>
    <t>No renewal confirmation as Generating Business - no document despatch events</t>
  </si>
  <si>
    <t>VR6.B1.3</t>
  </si>
  <si>
    <t>VR6.B1.4</t>
  </si>
  <si>
    <t>VR6.B1.5</t>
  </si>
  <si>
    <t>VA0.C</t>
  </si>
  <si>
    <t>VA1</t>
  </si>
  <si>
    <t>Van Quote Details</t>
  </si>
  <si>
    <t>This counts the number of emails that raised the quote</t>
  </si>
  <si>
    <t>shared logic and code in chat.</t>
  </si>
  <si>
    <t>VA1.F1</t>
  </si>
  <si>
    <t>The online journey is missing, not absent</t>
  </si>
  <si>
    <t>VA0.F1</t>
  </si>
  <si>
    <t xml:space="preserve">Source came from Marie! </t>
  </si>
  <si>
    <t>VA4b</t>
  </si>
  <si>
    <t>VA4.F1</t>
  </si>
  <si>
    <t>The call is recorded and nothing on it is</t>
  </si>
  <si>
    <t>VA4b.O1</t>
  </si>
  <si>
    <t>VA0</t>
  </si>
  <si>
    <t xml:space="preserve">check if the customer went to the web first or not  - Nikita to supply the query </t>
  </si>
  <si>
    <t>VA5</t>
  </si>
  <si>
    <t>Relay Newarchive / Inference</t>
  </si>
  <si>
    <t xml:space="preserve">561 total, 210 (SL13) online 351 back office - Nikita to supply the query </t>
  </si>
  <si>
    <t>Shared query on chat</t>
  </si>
  <si>
    <t>VA5.B1</t>
  </si>
  <si>
    <t>VA5.B1.F1</t>
  </si>
  <si>
    <t>Loan</t>
  </si>
  <si>
    <t>VA6</t>
  </si>
  <si>
    <t>we can derive the numbers -- can be 534 based on Gavin's definition of Email Body / 474 is the first chase</t>
  </si>
  <si>
    <t>VA6.F1</t>
  </si>
  <si>
    <t>VA6.B1</t>
  </si>
  <si>
    <t>MyChill Upload</t>
  </si>
  <si>
    <t xml:space="preserve">we can derive the numbers </t>
  </si>
  <si>
    <t>VA6.B1.F1</t>
  </si>
  <si>
    <t>VA7</t>
  </si>
  <si>
    <t>New Business - Printed Document - CD Issue Letter CV -- This is different from Motor</t>
  </si>
  <si>
    <t>VA7.F1</t>
  </si>
  <si>
    <t>VA7.B1</t>
  </si>
  <si>
    <t>No duplicate event but the above CD print repeats additional 14 times? And MTA sent 17 times</t>
  </si>
  <si>
    <t>VA5.B1.1</t>
  </si>
  <si>
    <t>VA5.B1.2</t>
  </si>
  <si>
    <t>VA5.B1.3</t>
  </si>
  <si>
    <t>VA5.B1.4</t>
  </si>
  <si>
    <t>Document Chase - Emailed Document - PC Chase Email</t>
  </si>
  <si>
    <t>VA5.B1.5</t>
  </si>
  <si>
    <t>VA5.B1.O1</t>
  </si>
  <si>
    <t>VA5.B1.PC1</t>
  </si>
  <si>
    <t>Premium Credit loan setup</t>
  </si>
  <si>
    <t>VA6.B1.1</t>
  </si>
  <si>
    <t>VA6.B1.2</t>
  </si>
  <si>
    <t>VA6.B1.4</t>
  </si>
  <si>
    <t>VA6.B1.5</t>
  </si>
  <si>
    <t>VA6.B1.3</t>
  </si>
  <si>
    <t xml:space="preserve">149 accepted / 78 failed </t>
  </si>
  <si>
    <t>VA6.B1.O1</t>
  </si>
  <si>
    <t xml:space="preserve">happens after </t>
  </si>
  <si>
    <t>VA6.B1.6</t>
  </si>
  <si>
    <t>VA7.B1.1</t>
  </si>
  <si>
    <t>VA7.B1.2</t>
  </si>
  <si>
    <t>VA7.B1.3</t>
  </si>
  <si>
    <t>VA7.B1.4</t>
  </si>
  <si>
    <t>VA7.B1.5</t>
  </si>
  <si>
    <t>VM0</t>
  </si>
  <si>
    <t>No Source</t>
  </si>
  <si>
    <t>VM0.1</t>
  </si>
  <si>
    <t>VM0.1.F1</t>
  </si>
  <si>
    <t>VM1</t>
  </si>
  <si>
    <t>VM1.F1</t>
  </si>
  <si>
    <t>VM2</t>
  </si>
  <si>
    <t>VM2.F1</t>
  </si>
  <si>
    <t>VM2.O1</t>
  </si>
  <si>
    <t>VM3</t>
  </si>
  <si>
    <t>VM3.B1</t>
  </si>
  <si>
    <t>VM3.B1.F1</t>
  </si>
  <si>
    <t>VM4</t>
  </si>
  <si>
    <t>VM4.F1</t>
  </si>
  <si>
    <t>VM4a</t>
  </si>
  <si>
    <t>NewArchive?</t>
  </si>
  <si>
    <t>VM4b</t>
  </si>
  <si>
    <t>VM4c</t>
  </si>
  <si>
    <t>VM4b.B1</t>
  </si>
  <si>
    <t>VM4b.B1.F1</t>
  </si>
  <si>
    <t>VM5</t>
  </si>
  <si>
    <t>VM5.F1</t>
  </si>
  <si>
    <t>VM6</t>
  </si>
  <si>
    <t>VM6.F1</t>
  </si>
  <si>
    <t>VM6.B1</t>
  </si>
  <si>
    <t>VM4b.B1.1</t>
  </si>
  <si>
    <t>VM4b.B1.2</t>
  </si>
  <si>
    <t>VM.V0</t>
  </si>
  <si>
    <t>VM.V1</t>
  </si>
  <si>
    <t>VM.V2</t>
  </si>
  <si>
    <t>VM.V3</t>
  </si>
  <si>
    <t>VM.V4</t>
  </si>
  <si>
    <t>VM.V5</t>
  </si>
  <si>
    <t>VM.V6</t>
  </si>
  <si>
    <t>VM3.B1.1</t>
  </si>
  <si>
    <t>14 / 5</t>
  </si>
  <si>
    <t>VM3.B1.2</t>
  </si>
  <si>
    <t>VM3.B1.4</t>
  </si>
  <si>
    <t>VM3.B1.5</t>
  </si>
  <si>
    <t>VM3.B1.3</t>
  </si>
  <si>
    <t>VM3.B1.O1</t>
  </si>
  <si>
    <t>VM3.B1.6</t>
  </si>
  <si>
    <t>VM6.B1.1</t>
  </si>
  <si>
    <t>VM6.B1.2</t>
  </si>
  <si>
    <t>VM6.B1.3</t>
  </si>
  <si>
    <t>VM6.B1.4</t>
  </si>
  <si>
    <t>VM6.B1.5</t>
  </si>
  <si>
    <t>VC0</t>
  </si>
  <si>
    <t>VC1a</t>
  </si>
  <si>
    <t>VC1a.F1</t>
  </si>
  <si>
    <t>VC1b</t>
  </si>
  <si>
    <t>VC1b.F1</t>
  </si>
  <si>
    <t>VC2</t>
  </si>
  <si>
    <t>VC3</t>
  </si>
  <si>
    <t>VC3.F1</t>
  </si>
  <si>
    <t>VC4</t>
  </si>
  <si>
    <t>VC4.F1</t>
  </si>
  <si>
    <t>Notices with nothing either side of them</t>
  </si>
  <si>
    <t>VC4.O1</t>
  </si>
  <si>
    <t>VC5</t>
  </si>
  <si>
    <t>VC6</t>
  </si>
  <si>
    <t>VC7</t>
  </si>
  <si>
    <t>VC7.F1</t>
  </si>
  <si>
    <t>VC.O1</t>
  </si>
  <si>
    <t>VC.IN1</t>
  </si>
  <si>
    <t>VC.IN2</t>
  </si>
  <si>
    <t>VC.IN3</t>
  </si>
  <si>
    <t>VC.IN4</t>
  </si>
  <si>
    <t>VC.IN5</t>
  </si>
  <si>
    <t>VC.IN6</t>
  </si>
  <si>
    <t>VC.IN7</t>
  </si>
  <si>
    <t>VARR.0</t>
  </si>
  <si>
    <t>VARR.1</t>
  </si>
  <si>
    <t>VARR.2</t>
  </si>
  <si>
    <t>VARR.O1</t>
  </si>
  <si>
    <t>VARR.B1</t>
  </si>
  <si>
    <t>VARR.B1.F1</t>
  </si>
  <si>
    <t>VARR.3</t>
  </si>
  <si>
    <t>VARR.B2</t>
  </si>
  <si>
    <t>VARR.B2.F1</t>
  </si>
  <si>
    <t>VARR.4</t>
  </si>
  <si>
    <t>VARR.F1</t>
  </si>
  <si>
    <t>VARR.O2</t>
  </si>
  <si>
    <t>VARR.B1.1</t>
  </si>
  <si>
    <t>VARR.B1.2</t>
  </si>
  <si>
    <t>VARR.B1.O1</t>
  </si>
  <si>
    <t>VCL0</t>
  </si>
  <si>
    <t>VCL1a</t>
  </si>
  <si>
    <t>Van claim reported</t>
  </si>
  <si>
    <t>VCL1b</t>
  </si>
  <si>
    <t>VCL1c</t>
  </si>
  <si>
    <t>VCL2</t>
  </si>
  <si>
    <t>VCL3</t>
  </si>
  <si>
    <t>VCL3.F1</t>
  </si>
  <si>
    <t>VCL4</t>
  </si>
  <si>
    <t>VCL4.F1</t>
  </si>
  <si>
    <t>VCL.O1</t>
  </si>
  <si>
    <t>VCL.O2</t>
  </si>
  <si>
    <t>VD0</t>
  </si>
  <si>
    <t>VD1</t>
  </si>
  <si>
    <t>VD1.F1</t>
  </si>
  <si>
    <t>VD2</t>
  </si>
  <si>
    <t>VD2.F1</t>
  </si>
  <si>
    <t>VD3</t>
  </si>
  <si>
    <t>VD3.F1</t>
  </si>
  <si>
    <t>VD3.F2</t>
  </si>
  <si>
    <t>VD.V1</t>
  </si>
  <si>
    <t>VD.V2</t>
  </si>
  <si>
    <t>VD.V3</t>
  </si>
  <si>
    <t>VD.V4</t>
  </si>
  <si>
    <t>VD.V5</t>
  </si>
  <si>
    <t>VD.V6</t>
  </si>
  <si>
    <t>VAP.1</t>
  </si>
  <si>
    <t>TA0</t>
  </si>
  <si>
    <t>Who owns what on travel</t>
  </si>
  <si>
    <t>TA1</t>
  </si>
  <si>
    <t>Travel Quotes / Travel Policy</t>
  </si>
  <si>
    <t xml:space="preserve">10767 (from another report) / 9598 unique quotes - Nikita to supply the query </t>
  </si>
  <si>
    <t>Pending</t>
  </si>
  <si>
    <t>TA1p</t>
  </si>
  <si>
    <t>Travel Quote Completed</t>
  </si>
  <si>
    <t>SL07</t>
  </si>
  <si>
    <t>Data team acknowledged issues with July data and it is being fixed</t>
  </si>
  <si>
    <t>some quotes missing on either side of the base - Question raised with Data Team 
Effective Date is set to the purchase date (if purchased) regardless of quote start date. - This is SQL 09 business rule - this leads to 1500 non-unique quotes not counted in July. Fabric processes data as it comes so waiting for the purchase to happen to count / ignore the quote will not be practical
Unique flag is not considered on both sides for now</t>
  </si>
  <si>
    <t>Shared SP and fact layer script.</t>
  </si>
  <si>
    <t>TA1.F1</t>
  </si>
  <si>
    <t>The whole online journey reads nothing</t>
  </si>
  <si>
    <t>not a data point - one for future</t>
  </si>
  <si>
    <t>TA2</t>
  </si>
  <si>
    <t>Pricing presented</t>
  </si>
  <si>
    <t>TA2.F1</t>
  </si>
  <si>
    <t>Single trip and annual multi-trip are not distinguished</t>
  </si>
  <si>
    <t>not a data point in ods</t>
  </si>
  <si>
    <t>TA3a</t>
  </si>
  <si>
    <t>Payment in full ONLINE</t>
  </si>
  <si>
    <t xml:space="preserve">total sales figure  --&gt; split to nb 7968 (Chill) / 7975 (Fabric)  and renewals 2130 (Chill) / 2131 (Fabric) -- As supplied by data team -- not too sure if this is online or all payments </t>
  </si>
  <si>
    <t xml:space="preserve">Shared ODS , sl_06 and sl_07 script in chat. </t>
  </si>
  <si>
    <t>TA3b</t>
  </si>
  <si>
    <t>Deflected to the Mapfre contact centre</t>
  </si>
  <si>
    <t>Insurer phone number is needed</t>
  </si>
  <si>
    <t>TA3.F1</t>
  </si>
  <si>
    <t>Abandoned, or deflected and lost</t>
  </si>
  <si>
    <t>TA3.B1</t>
  </si>
  <si>
    <t>Quote retrieve and re-quote</t>
  </si>
  <si>
    <t>TA3.B1.F1</t>
  </si>
  <si>
    <t>Cycles before buying, or giving up</t>
  </si>
  <si>
    <t>TA4</t>
  </si>
  <si>
    <t>Mapfre agent sells over the phone</t>
  </si>
  <si>
    <t>TA4.F1</t>
  </si>
  <si>
    <t>We cannot see the phone sale or its price</t>
  </si>
  <si>
    <t>TA5</t>
  </si>
  <si>
    <t>Purchase confirmed by next-day CSV</t>
  </si>
  <si>
    <t>total sales figure  --&gt; split to nb 7968 (Chill) / 7975 (Fabric)  and renewals 2130 (Chill) / 2131 (Fabric)</t>
  </si>
  <si>
    <t>TA5.F1</t>
  </si>
  <si>
    <t>Chill's view of travel is a day behind</t>
  </si>
  <si>
    <t>TA6.B1</t>
  </si>
  <si>
    <t>no data available</t>
  </si>
  <si>
    <t>TA3.B1.1</t>
  </si>
  <si>
    <t>Nikita to supply the query and number if available - Else please confirm</t>
  </si>
  <si>
    <t>No report on Ret.</t>
  </si>
  <si>
    <t>TA3.B1.2</t>
  </si>
  <si>
    <t>Same data points as above</t>
  </si>
  <si>
    <t>TA3.B1.O1</t>
  </si>
  <si>
    <t>due to some data issues that data team is investigating, this number is held back until confirmation - TA1p</t>
  </si>
  <si>
    <t>TA6.B1.1</t>
  </si>
  <si>
    <t>Mapfre generate and email the policy documents</t>
  </si>
  <si>
    <t>TA6.B1.2</t>
  </si>
  <si>
    <t>Customer receives, silent close</t>
  </si>
  <si>
    <t>TA6.B1.F1</t>
  </si>
  <si>
    <t>No chase route back to Chill</t>
  </si>
  <si>
    <t>TR1</t>
  </si>
  <si>
    <t>Pre-renewal notification</t>
  </si>
  <si>
    <t>Do we have any CRM Campaigns?</t>
  </si>
  <si>
    <t>TR1.F1</t>
  </si>
  <si>
    <t>The count is far larger than the book</t>
  </si>
  <si>
    <t xml:space="preserve">unique - Nikita to supply the query </t>
  </si>
  <si>
    <t>Shared query from fact layer and logic.</t>
  </si>
  <si>
    <t>TR1.E1</t>
  </si>
  <si>
    <t>Travel renewal date campaign</t>
  </si>
  <si>
    <t>Amber to confirm the campaign table -- Travel - Renewal Date in the next 7 or 14 Days</t>
  </si>
  <si>
    <t>TR2</t>
  </si>
  <si>
    <t>TR3a</t>
  </si>
  <si>
    <t>Customer reviews and re-purchases ONLINE</t>
  </si>
  <si>
    <t>TR3b</t>
  </si>
  <si>
    <t>Customer renews on the MAPFRE phone line</t>
  </si>
  <si>
    <t>TR3.F1</t>
  </si>
  <si>
    <t>A travel renewal is a re-purchase</t>
  </si>
  <si>
    <t>TR4</t>
  </si>
  <si>
    <t>Numbers from dwh with  no filter on uniquequote flag</t>
  </si>
  <si>
    <t>Travel Renewal sale - script from ods, shared under below request.</t>
  </si>
  <si>
    <t>TR4.B1</t>
  </si>
  <si>
    <t>TR5</t>
  </si>
  <si>
    <t>Lapsed, the rollover window closed</t>
  </si>
  <si>
    <t>TR5.F1</t>
  </si>
  <si>
    <t>Lapse on travel may be a season, not a loss</t>
  </si>
  <si>
    <t>TR5.B1</t>
  </si>
  <si>
    <t>Win-back</t>
  </si>
  <si>
    <t>Do we have a Travel Winback CRM campaign?</t>
  </si>
  <si>
    <t>TR.O1</t>
  </si>
  <si>
    <t>Policy continues, re-purchased</t>
  </si>
  <si>
    <t>SL07 reports lower volume but this is from DWH tables per supplied query (excluding unique quote flags) - Data Team to comment</t>
  </si>
  <si>
    <t>Shared renewal sale query from ods and view.</t>
  </si>
  <si>
    <t>TR.O2</t>
  </si>
  <si>
    <t>Gone, or simply not travelling</t>
  </si>
  <si>
    <t>TR5.B1.1</t>
  </si>
  <si>
    <t>Policy lapsed, rollover window closed</t>
  </si>
  <si>
    <t>TR5.B1.2</t>
  </si>
  <si>
    <t>Win-back comms through XP</t>
  </si>
  <si>
    <t>TR5.B1.F1</t>
  </si>
  <si>
    <t>No read on whether win-back works</t>
  </si>
  <si>
    <t>TR5.B1.3</t>
  </si>
  <si>
    <t>Win-back purchase, as a new policy</t>
  </si>
  <si>
    <t>TM0</t>
  </si>
  <si>
    <t>Mapfre handle every travel change</t>
  </si>
  <si>
    <t>TM1</t>
  </si>
  <si>
    <t>Customer requests a change</t>
  </si>
  <si>
    <t>TM1.F1</t>
  </si>
  <si>
    <t>Chill do not know a change was asked for</t>
  </si>
  <si>
    <t>TM2</t>
  </si>
  <si>
    <t>Mapfre process it as cancel and re-buy</t>
  </si>
  <si>
    <t>TM2.F1</t>
  </si>
  <si>
    <t>Travel changes inflate cancellations and new business together</t>
  </si>
  <si>
    <t>TM3</t>
  </si>
  <si>
    <t>Net effect, a new policy record</t>
  </si>
  <si>
    <t>TM.O1</t>
  </si>
  <si>
    <t>Cancellation leg</t>
  </si>
  <si>
    <t>TM.O2</t>
  </si>
  <si>
    <t>Re-purchase leg</t>
  </si>
  <si>
    <t>TC0</t>
  </si>
  <si>
    <t>TC1</t>
  </si>
  <si>
    <t>Cancellation requested</t>
  </si>
  <si>
    <t>TC1.IN1</t>
  </si>
  <si>
    <t>Cancellation leg of a travel change</t>
  </si>
  <si>
    <t>EDW holds some cancellation - to be checked</t>
  </si>
  <si>
    <t>TC1.F1</t>
  </si>
  <si>
    <t>No save attempt, and no way to make one</t>
  </si>
  <si>
    <t>TC2</t>
  </si>
  <si>
    <t>Mapfre process the cancellation</t>
  </si>
  <si>
    <t>TC2.F1</t>
  </si>
  <si>
    <t>No refund step exists</t>
  </si>
  <si>
    <t>TC.O1</t>
  </si>
  <si>
    <t>TCL0</t>
  </si>
  <si>
    <t>TCL1</t>
  </si>
  <si>
    <t>Claim initiated</t>
  </si>
  <si>
    <t>TCL1.F1</t>
  </si>
  <si>
    <t>Three routes in and none of them are Chill's</t>
  </si>
  <si>
    <t>TCL2</t>
  </si>
  <si>
    <t>Mapfre own the claim end to end</t>
  </si>
  <si>
    <t>TCL2.F1</t>
  </si>
  <si>
    <t>A bad travel claim lands on the Chill brand anyway</t>
  </si>
  <si>
    <t>TCL.O1</t>
  </si>
  <si>
    <t>Outcome unknown to Chill</t>
  </si>
  <si>
    <t>EventDescription</t>
  </si>
  <si>
    <t>count(DISTINCT PolicyCode)</t>
  </si>
  <si>
    <t>New Business - Printed Document - CD Issue Letter CV</t>
  </si>
  <si>
    <t>New Business - Sent To Document Processing - CD Issue Letter CV</t>
  </si>
  <si>
    <t>New Business - Saved Document - CD Issue Letter CV</t>
  </si>
  <si>
    <t>Prior Year Quotes - Saved Document - C&amp;D Email</t>
  </si>
  <si>
    <t>Prior Year Quotes - Sent To Document Processing - C&amp;D Email</t>
  </si>
  <si>
    <t>Prior Year Quotes - Emailed Document - C&amp;D Email</t>
  </si>
  <si>
    <t>Renewal Offer - Sent To Document Processing - 05 - Terms Of Business</t>
  </si>
  <si>
    <t>Renewal Offer - Saved Document - Statement of Risk Van</t>
  </si>
  <si>
    <t>Renewal Offer - Sent To Document Processing - Statement of Risk Van</t>
  </si>
  <si>
    <t>Renewal Offer - Saved Document - 05 - Terms Of Business</t>
  </si>
  <si>
    <t>Policy Renewal Window Started</t>
  </si>
  <si>
    <t>Renewal Offer - Saved Document - Attachment 1</t>
  </si>
  <si>
    <t>Renewal Offer - Sent To Document Processing - Attachment 1</t>
  </si>
  <si>
    <t>Normal - Renew Policy</t>
  </si>
  <si>
    <t>Renewal Offer - Sent To Document Processing - RNL Van Suitability</t>
  </si>
  <si>
    <t>Renewal Offer - Saved Document - RNL Van Suitability</t>
  </si>
  <si>
    <t>Renewal Offer - Emailed Document - Statement of Risk Van</t>
  </si>
  <si>
    <t>Renewal Offer - Emailed Document - 05 - Terms Of Business</t>
  </si>
  <si>
    <t>Renewal Offer - Emailed Document - Attachment 1</t>
  </si>
  <si>
    <t>Renewal Offer - Sent To Document Processing - RNL Offer Van Current Email Link</t>
  </si>
  <si>
    <t>Renewal Offer - Saved Document - RNL Offer Van Current Email Link</t>
  </si>
  <si>
    <t>Renewal Offer - Saved Document - ZU1 - Zur Breakdown Van</t>
  </si>
  <si>
    <t>Renewal Offer - Sent To Document Processing - ZU1 - Zur Breakdown Van</t>
  </si>
  <si>
    <t>Renewal Offer - Emailed Document - RNL Offer Van Current Email Link</t>
  </si>
  <si>
    <t>Renewal Offer - Emailed Document - RNL Van Suitability</t>
  </si>
  <si>
    <t>Renewal Offer - Emailed Document - ZU1 - Zur Breakdown Van</t>
  </si>
  <si>
    <t>Renewal Offer - Saved Document - Attachment 2</t>
  </si>
  <si>
    <t>Renewal Offer - Sent To Document Processing - Attachment 2</t>
  </si>
  <si>
    <t>Renewal Offer - Saved Document - Attachment 3</t>
  </si>
  <si>
    <t>Renewal Offer - Sent To Document Processing - Attachment 3</t>
  </si>
  <si>
    <t>Renewal Offer - Emailed Document - Attachment 2</t>
  </si>
  <si>
    <t>Renewal Offer - Saved Document - Attachment 4</t>
  </si>
  <si>
    <t>Renewal Offer - Sent To Document Processing - Attachment 4</t>
  </si>
  <si>
    <t>Renewal Offer - Sent To Document Processing - Attachment 5</t>
  </si>
  <si>
    <t>Renewal Offer - Saved Document - Attachment 5</t>
  </si>
  <si>
    <t>Renewal Offer - Emailed Document - Attachment 3</t>
  </si>
  <si>
    <t>Renewal Offer - Emailed Document - Attachment 4</t>
  </si>
  <si>
    <t>Renewal Offer - Emailed Document - Attachment 5</t>
  </si>
  <si>
    <t>Renewal - Payment Success - Full</t>
  </si>
  <si>
    <t>Normal - Transfer</t>
  </si>
  <si>
    <t>Document Chase - Sent To Document Processing - PC Chase Email</t>
  </si>
  <si>
    <t>Document Chase - Saved Document - PC Chase Email</t>
  </si>
  <si>
    <t>Renewal - Payment Success - Instalments</t>
  </si>
  <si>
    <t>Document Chase - Emailed Document Failed - Chase Final Notice Email</t>
  </si>
  <si>
    <t>Document Chase - Saved Document - Chase Final Notice Email</t>
  </si>
  <si>
    <t>Document Chase - Emailed Document - Chase Final Notice Email</t>
  </si>
  <si>
    <t>Document Chase - Sent To Document Processing - Chase Final Notice Email</t>
  </si>
  <si>
    <t>Renewal - Payment Failure - Transaction blocked by merchant's 3D Secure 2 configuration - authentication failed</t>
  </si>
  <si>
    <t>Renewal Offer - Saved Document - Attachment 6</t>
  </si>
  <si>
    <t>Renewal Offer - Sent To Document Processing - Attachment 6</t>
  </si>
  <si>
    <t>Renewal Offer - Document Posted Confirmation - 05 - Terms Of Business</t>
  </si>
  <si>
    <t>Renewal Offer - Document Transmitted - Statement of Risk Van</t>
  </si>
  <si>
    <t>Renewal Offer - Document Transmitted - Attachment 1</t>
  </si>
  <si>
    <t>Renewal Offer - Emailed Document - Attachment 6</t>
  </si>
  <si>
    <t>Renewal Offer - Document Posted Confirmation - Statement of Risk Van</t>
  </si>
  <si>
    <t>Renewal Offer - Document Transmitted - 05 - Terms Of Business</t>
  </si>
  <si>
    <t>Renewal Offer - Document Transmission Confirmed - Statement of Risk Van</t>
  </si>
  <si>
    <t>Renewal Offer - Document Transmission Confirmed - 05 - Terms Of Business</t>
  </si>
  <si>
    <t>Renewal Offer - Document Posted Confirmation - Attachment 1</t>
  </si>
  <si>
    <t>Renewal Offer - Document Transmission Confirmed - Attachment 1</t>
  </si>
  <si>
    <t>Normal - Endorsement</t>
  </si>
  <si>
    <t>Renewal Offer - Saved Document - Attachment 7</t>
  </si>
  <si>
    <t>Renewal Offer - Document Transmitted - RNL Van Suitability</t>
  </si>
  <si>
    <t>Renewal Offer - Sent To Document Processing - Attachment 7</t>
  </si>
  <si>
    <t>Renewal Offer - Document Posted Confirmation - RNL Van Suitability</t>
  </si>
  <si>
    <t>Renewal Offer - Document Transmission Confirmed - RNL Van Suitability</t>
  </si>
  <si>
    <t>Renewal Offer - Emailed Document - Attachment 7</t>
  </si>
  <si>
    <t>Document Chase - Saved Document - 02P - Client Bank Letter_Edit Template</t>
  </si>
  <si>
    <t>Document Chase - Sent To Document Processing - 02P - Client Bank Letter_Edit Template</t>
  </si>
  <si>
    <t>Document Chase - Document Posted Confirmation - 02P - Client Bank Letter_Edit Template</t>
  </si>
  <si>
    <t>Document Chase - Document Transmitted - 02P - Client Bank Letter_Edit Template</t>
  </si>
  <si>
    <t>Document Chase - Document Transmission Confirmed - 02P - Client Bank Letter_Edit Template</t>
  </si>
  <si>
    <t>Normal - Returns</t>
  </si>
  <si>
    <t>Renewal Offer - Document Transmission Confirmed - RNL Offer Van Current - Letter</t>
  </si>
  <si>
    <t>Renewal Offer - Saved Document - RNL Offer Van Current - Letter</t>
  </si>
  <si>
    <t>Renewal Offer - Document Posted Confirmation - RNL Offer Van Current - Letter</t>
  </si>
  <si>
    <t>Renewal Offer - Sent To Document Processing - RNL Offer Van Current - Letter</t>
  </si>
  <si>
    <t>Document Chase - Saved Document - Receipt_Template</t>
  </si>
  <si>
    <t>Renewal Offer - Document Transmitted - RNL Offer Van Current - Letter</t>
  </si>
  <si>
    <t>Document Chase - Sent To Document Processing - Receipt_Template</t>
  </si>
  <si>
    <t>Document Chase - Document Transmission Confirmed - Receipt_Template</t>
  </si>
  <si>
    <t>Renewal Offer - Document Posted Confirmation - ZU1 - Zur Breakdown Van</t>
  </si>
  <si>
    <t>Renewal Offer - Document Transmission Confirmed - ZU1 - Zur Breakdown Van</t>
  </si>
  <si>
    <t>Renewal Offer - Document Transmission Confirmed - PreRNLLetter</t>
  </si>
  <si>
    <t>Renewal Offer - Document Transmitted - ZU1 - Zur Breakdown Van</t>
  </si>
  <si>
    <t>Document Chase - Document Transmitted - Receipt_Template</t>
  </si>
  <si>
    <t>Renewal Offer - Document Posted Confirmation - PreRNLLetter</t>
  </si>
  <si>
    <t>Document Chase - Document Posted Confirmation - Receipt_Template</t>
  </si>
  <si>
    <t>Renewal Offer - Saved Document - RNL Offer Van Transfer Email Link</t>
  </si>
  <si>
    <t>Renewal Offer - Sent To Document Processing - RNL Suitability Statement</t>
  </si>
  <si>
    <t>Renewal Offer - Saved Document - RNL Suitability Statement</t>
  </si>
  <si>
    <t>Renewal Offer - Sent To Document Processing - RNL Offer Van Transfer Email Link</t>
  </si>
  <si>
    <t>Renewal Offer - Document Transmitted - PreRNLLetter</t>
  </si>
  <si>
    <t>Renewal Offer - Saved Document - PreRNLLetter</t>
  </si>
  <si>
    <t>Renewal Offer - Sent To Document Processing - PreRNLLetter</t>
  </si>
  <si>
    <t>Renewal Offer - Emailed Document - RNL Offer Van Transfer Email Link</t>
  </si>
  <si>
    <t>Renewal Offer - Emailed Document - RNL Suitability Statement</t>
  </si>
  <si>
    <t>Prior Year Quotes - Saved Document - 10 Day CXL Letter</t>
  </si>
  <si>
    <t>Prior Year Quotes - Document Transmission Confirmed - 10 Day CXL Letter</t>
  </si>
  <si>
    <t>Prior Year Quotes - Document Transmitted - 10 Day CXL Letter</t>
  </si>
  <si>
    <t>Prior Year Quotes - Sent To Document Processing - 10 Day CXL Letter</t>
  </si>
  <si>
    <t>Insurer Led Cancelation - Emailed Document - Reg canx email template</t>
  </si>
  <si>
    <t>Insurer Led Cancelation - Saved Document - Reg canx email template</t>
  </si>
  <si>
    <t>Insurer Led Cancelation - Sent To Document Processing - Reg canx email template</t>
  </si>
  <si>
    <t>New Business - Saved Document - CD Issue Letter MTA</t>
  </si>
  <si>
    <t>New Business - Printed Document - CD Issue Letter MTA</t>
  </si>
  <si>
    <t>New Business - Sent To Document Processing - CD Issue Letter MTA</t>
  </si>
  <si>
    <t>Renewal Offer - Document Posted Confirmation - Attachment 2</t>
  </si>
  <si>
    <t>Renewal Offer - Document Transmitted - Attachment 2</t>
  </si>
  <si>
    <t>Renewal Offer - Document Transmission Confirmed - Attachment 2</t>
  </si>
  <si>
    <t>Prior Year Quotes - Edited Document - 10 Day CXL Letter</t>
  </si>
  <si>
    <t>Prior Year Quotes - Document Posted Confirmation - 10 Day CXL Letter</t>
  </si>
  <si>
    <t>Renewal Offer - Removed From Document Processing - ZU1 - Zur Breakdown Van</t>
  </si>
  <si>
    <t>Renewal Offer - Document Transmitted - Attachment 3</t>
  </si>
  <si>
    <t>Renewal Offer - Document Posted Confirmation - Attachment 3</t>
  </si>
  <si>
    <t>Renewal Offer - Document Transmission Confirmed - Attachment 3</t>
  </si>
  <si>
    <t>Normal - New Business</t>
  </si>
  <si>
    <t>Reverse : Normal - Renew Policy</t>
  </si>
  <si>
    <t>Renewal Offer - Document Posted Confirmation - Attachment 4</t>
  </si>
  <si>
    <t>Renewal Offer - Document Transmitted - Attachment 5</t>
  </si>
  <si>
    <t>Renewal Offer - Document Posted Confirmation - Attachment 5</t>
  </si>
  <si>
    <t>Renewal Offer - Document Transmission Confirmed - Attachment 5</t>
  </si>
  <si>
    <t>Renewal Offer - Document Transmission Confirmed - Attachment 4</t>
  </si>
  <si>
    <t>Renewal Offer - Document Transmitted - Attachment 4</t>
  </si>
  <si>
    <t>New Business - Sent To Document Processing - Receipt_Template</t>
  </si>
  <si>
    <t>New Business - Sent To Document Processing - Insurer Doc 1_Placeholder</t>
  </si>
  <si>
    <t>New Business - Saved Document - Receipt_Template</t>
  </si>
  <si>
    <t>Renewal Offer - Sent To Document Processing - RNL Held Email</t>
  </si>
  <si>
    <t>Journal :Refund</t>
  </si>
  <si>
    <t>Reverse : Normal - Transfer</t>
  </si>
  <si>
    <t>New Business - Saved Document - Insurer Doc 1_Placeholder</t>
  </si>
  <si>
    <t>Renewal Offer - Saved Document - RNL Held Email</t>
  </si>
  <si>
    <t>Renewal Offer - Emailed Document - RNL Held Email</t>
  </si>
  <si>
    <t>New Business - Sent To Document Processing - CV Suitability Statment.</t>
  </si>
  <si>
    <t>New Business - Saved Document - CV Email Body</t>
  </si>
  <si>
    <t>New Business - Emailed Document - 05E Terms Of Business</t>
  </si>
  <si>
    <t>New Business - Saved Document - CV Cover Letter</t>
  </si>
  <si>
    <t>New Business - Emailed Document - CV Suitability Statment.</t>
  </si>
  <si>
    <t>New Business - Emailed Document - Insurer Doc 1_Placeholder</t>
  </si>
  <si>
    <t>New Business - Emailed Document - CV Cover Letter</t>
  </si>
  <si>
    <t>Renewal - Payment Failure - UNABLE TO AUTH</t>
  </si>
  <si>
    <t>New Business - Sent To Document Processing - CV Email Body</t>
  </si>
  <si>
    <t>New Business - Saved Document - 05E Terms Of Business</t>
  </si>
  <si>
    <t>New Business - Sent To Document Processing - CV Cover Letter</t>
  </si>
  <si>
    <t>New Business - Emailed Document - Receipt_Template</t>
  </si>
  <si>
    <t>New Business - Saved Document - CV Suitability Statment.</t>
  </si>
  <si>
    <t>New Business - Emailed Document - CV Email Body</t>
  </si>
  <si>
    <t>New Business - Sent To Document Processing - 05E Terms Of Business</t>
  </si>
  <si>
    <t>New Business - Emailed Document - Insurer Doc 2_Placeholder</t>
  </si>
  <si>
    <t>Document Chase - Saved Document - Insurer Doc 1_Placeholder</t>
  </si>
  <si>
    <t>Document Chase - Sent To Document Processing - Insurer Doc 1_Placeholder</t>
  </si>
  <si>
    <t>New Business - Sent To Document Processing - Insurer Doc 2_Placeholder</t>
  </si>
  <si>
    <t>New Business - Saved Document - Insurer Doc 2_Placeholder</t>
  </si>
  <si>
    <t>New Business - Saved Document - 205 SOF- Proposal_Placeholder</t>
  </si>
  <si>
    <t>New Business - Sent To Document Processing - 205 SOF- Proposal_Placeholder</t>
  </si>
  <si>
    <t>Document Chase - Document Transmitted - Insurer Doc 1_Placeholder</t>
  </si>
  <si>
    <t>New Business - Emailed Document - 205 SOF- Proposal_Placeholder</t>
  </si>
  <si>
    <t>Document Chase - Document Transmission Confirmed - Insurer Doc 1_Placeholder</t>
  </si>
  <si>
    <t>Document Chase - Document Posted Confirmation - Insurer Doc 1_Placeholder</t>
  </si>
  <si>
    <t>Document Chase - Document Transmitted - Insurer Doc 2_Placeholder</t>
  </si>
  <si>
    <t>Document Chase - Sent To Document Processing - Insurer Doc 2_Placeholder</t>
  </si>
  <si>
    <t>Document Chase - Saved Document - Insurer Doc 2_Placeholder</t>
  </si>
  <si>
    <t>Document Chase - Document Posted Confirmation - Insurer Doc 2_Placeholder</t>
  </si>
  <si>
    <t>Document Chase - Document Transmission Confirmed - Insurer Doc 2_Placeholder</t>
  </si>
  <si>
    <t>New Business - Sent To Document Processing - CV Checklist Link</t>
  </si>
  <si>
    <t>New Business - Emailed Document - CV Checklist Link</t>
  </si>
  <si>
    <t>Renewal Offer - Document Posted Confirmation - RNL Offer Van Current Email Link</t>
  </si>
  <si>
    <t>Renewal Offer - Document Transmission Confirmed - RNL Offer Van Current Email Link</t>
  </si>
  <si>
    <t>Renewal Offer - Document Transmitted - RNL Offer Van Current Email Link</t>
  </si>
  <si>
    <t>New Business - Saved Document - CV Checklist Link</t>
  </si>
  <si>
    <t>Document Chase - Document Posted Confirmation - Insurer Doc 3_Placeholder</t>
  </si>
  <si>
    <t>Document Chase - Document Transmission Confirmed - Insurer Doc 3_Placeholder</t>
  </si>
  <si>
    <t>Document Chase - Saved Document - Insurer Doc 3_Placeholder</t>
  </si>
  <si>
    <t>Document Chase - Document Transmitted - Insurer Doc 3_Placeholder</t>
  </si>
  <si>
    <t>Document Chase - Sent To Document Processing - Insurer Doc 3_Placeholder</t>
  </si>
  <si>
    <t>Renewal Offer - Document Transmission Confirmed - RNL Suitability Statement</t>
  </si>
  <si>
    <t>Renewal Offer - Document Transmitted - RNL Offer Van Transfer Email Link</t>
  </si>
  <si>
    <t>Renewal Offer - Document Posted Confirmation - RNL Suitability Statement</t>
  </si>
  <si>
    <t>Renewal - Payment Failure - Transaction blocked by merchant's 3D Secure configuration.</t>
  </si>
  <si>
    <t>Renewal - Payment Failure - EXPIRED CARD</t>
  </si>
  <si>
    <t>Renewal Offer - Document Transmission Confirmed - RNL Offer Van Transfer Email Link</t>
  </si>
  <si>
    <t>Renewal Offer - Document Transmitted - RNL Suitability Statement</t>
  </si>
  <si>
    <t>Renewal Offer - Document Posted Confirmation - RNL Offer Van Transfer Email Link</t>
  </si>
  <si>
    <t>Document Chase - Saved Document - DDM_Placeholder</t>
  </si>
  <si>
    <t>Document Chase - Document Transmitted - DDM_Placeholder</t>
  </si>
  <si>
    <t>Document Chase - Sent To Document Processing - DDM_Placeholder</t>
  </si>
  <si>
    <t>Document Chase - Document Transmission Confirmed - DDM_Placeholder</t>
  </si>
  <si>
    <t>Document Chase - Document Posted Confirmation - DDM_Placeholder</t>
  </si>
  <si>
    <t>Renewal Offer - Sent To Document Processing - RNL Pre Request Email</t>
  </si>
  <si>
    <t>Document Chase - Saved Document - Motor SOF / Proposal_Placeholder</t>
  </si>
  <si>
    <t>Document Chase - Sent To Document Processing - Motor SOF / Proposal_Placeholder</t>
  </si>
  <si>
    <t>Document Chase - Emailed Document - 02P - Client Bank Letter_Edit Template</t>
  </si>
  <si>
    <t>Renewal - Payment Failure - NOT AUTHORISED</t>
  </si>
  <si>
    <t>Document Chase - Emailed Document - Receipt_Template</t>
  </si>
  <si>
    <t>Renewal Offer - Edited Document - RNL Pre Request Email</t>
  </si>
  <si>
    <t>Renewal Offer - Emailed Document - RNL Pre Request Email</t>
  </si>
  <si>
    <t>Document Chase - Document Transmitted - Motor SOF / Proposal_Placeholder</t>
  </si>
  <si>
    <t>Renewal Offer - Document Transmission Failed - Attachment 1</t>
  </si>
  <si>
    <t>Document Chase - Document Transmission Confirmed - Motor SOF / Proposal_Placeholder</t>
  </si>
  <si>
    <t>Renewal Offer - Saved Document - RNL Pre Request Email</t>
  </si>
  <si>
    <t>Document Chase - Document Posted Confirmation - Motor SOF / Proposal_Placeholder</t>
  </si>
  <si>
    <t>Document Chase - Saved Document - Document Checklist Email</t>
  </si>
  <si>
    <t>2P - Proof of Identification:- Attempt - 1 - Accepted</t>
  </si>
  <si>
    <t>Reverse : Normal - Returns</t>
  </si>
  <si>
    <t>Renewal Offer - Sent To Document Processing - RNL Pre Chaser Email</t>
  </si>
  <si>
    <t>Renewal Offer - Edited Document - RNL Pre Chaser Email</t>
  </si>
  <si>
    <t>Document Chase - Sent To Document Processing - Document Checklist Email</t>
  </si>
  <si>
    <t>Renewal Offer - Emailed Document - RNL Pre Chaser Email</t>
  </si>
  <si>
    <t>Reverse : Normal - New Business</t>
  </si>
  <si>
    <t>Renewal Offer - Saved Document - RNL Pre Chaser Email</t>
  </si>
  <si>
    <t>2O - Proof of PPS:- Attempt - 1 - Rejected</t>
  </si>
  <si>
    <t>New Business - Document Transmission Confirmed - Document Checklist SMS</t>
  </si>
  <si>
    <t>New Business - Emailed Document - Attachment 1</t>
  </si>
  <si>
    <t>New Business - Sent To Document Processing - CV Suitability Statment</t>
  </si>
  <si>
    <t>Direct - Endorsement</t>
  </si>
  <si>
    <t>New Business - Document Transmission Confirmed - Receipt_Template</t>
  </si>
  <si>
    <t>New Business - Document Posted Confirmation - Commerical Vehicle Cover Letter</t>
  </si>
  <si>
    <t>New Business - Document Transmission Confirmed - Document Checklist Email</t>
  </si>
  <si>
    <t>New Business - Document Posted Confirmation - Terms Of Business</t>
  </si>
  <si>
    <t>New Business - Saved Document - Document Checklist SMS</t>
  </si>
  <si>
    <t>Renewal Offer - Document Transmitted - Attachment 8</t>
  </si>
  <si>
    <t>New Business - Document Transmission Confirmed - CV Suitability Statment</t>
  </si>
  <si>
    <t>New Business - Document Transmitted - DDM_Placeholder</t>
  </si>
  <si>
    <t>Document Chase - Sent To Document Processing - Document Checklist SMS</t>
  </si>
  <si>
    <t>New Business - Saved Document - Insurer Doc 3_Placeholder</t>
  </si>
  <si>
    <t>Renewal Offer - Document Transmitted - RNL Held</t>
  </si>
  <si>
    <t>New Business - Saved Document - Document Checklist Email</t>
  </si>
  <si>
    <t>Document Chase - Document Transmitted - PC Chase Letter</t>
  </si>
  <si>
    <t>New Business - Saved Document - Attachment 1</t>
  </si>
  <si>
    <t>New Business - Saved Document - ZU1 - Zur Breakdown Van</t>
  </si>
  <si>
    <t>New Business - Sent To Document Processing - Motor SOF / Proposal_Placeholder</t>
  </si>
  <si>
    <t>Journal :Finance Claw Back</t>
  </si>
  <si>
    <t>Renewal Offer - Document Posted Confirmation - RNL Pre Chaser Letter</t>
  </si>
  <si>
    <t>New Business - Document Posted Confirmation - CV Suitability Statment</t>
  </si>
  <si>
    <t>New Business - Saved Document - CV Suitability Statment</t>
  </si>
  <si>
    <t>Direct - Renew Policy</t>
  </si>
  <si>
    <t>New Business - Document Transmission Confirmed - Commerical Vehicle Cover Letter</t>
  </si>
  <si>
    <t>Renewal Offer - Document Posted Confirmation - Attachment 7</t>
  </si>
  <si>
    <t>New Business - Saved Document - Terms Of Business</t>
  </si>
  <si>
    <t>Journal :Client Journal</t>
  </si>
  <si>
    <t>New Business - Saved Document - DDM_Placeholder</t>
  </si>
  <si>
    <t>New Business - Sent To Document Processing - DDM_Placeholder</t>
  </si>
  <si>
    <t>Journal :Commission</t>
  </si>
  <si>
    <t>New Business - Document Transmission Confirmed - DDM_Placeholder</t>
  </si>
  <si>
    <t>Renewal Offer - Document Transmitted - Attachment 7</t>
  </si>
  <si>
    <t>New Business - Sent To Document Processing - Commerical Vehicle Cover Letter</t>
  </si>
  <si>
    <t>2C - No Claims Bonus:- Attempt - 1 - Rejected</t>
  </si>
  <si>
    <t>New Business - Sent To Document Processing - Insurer Doc 3_Placeholder</t>
  </si>
  <si>
    <t>Document Chase - Sent To Document Processing - PC Chase Letter</t>
  </si>
  <si>
    <t>Normal - Renewal Policy Lost</t>
  </si>
  <si>
    <t>New Business - Document Transmitted - Motor SOF / Proposal_Placeholder</t>
  </si>
  <si>
    <t>Document Chase - Document Transmitted - Document Checklist SMS</t>
  </si>
  <si>
    <t>Renewal Offer - Sent To Document Processing - Attachment 8</t>
  </si>
  <si>
    <t>Renewal Offer - Document Transmission Confirmed - Attachment 8</t>
  </si>
  <si>
    <t>Renewal Offer - Saved Document - RNL Pre Chaser Letter</t>
  </si>
  <si>
    <t>Renewal - Payment Failure - Authentication Rejected.</t>
  </si>
  <si>
    <t>New Business - Document Transmitted - Commerical Vehicle Cover Letter</t>
  </si>
  <si>
    <t>Renewal Offer - Edited Document - RNL Pre Chaser Letter</t>
  </si>
  <si>
    <t>New Business - Document Transmission Confirmed - Insurer Doc 1_Placeholder</t>
  </si>
  <si>
    <t>New Business - Document Transmitted - Receipt_Template</t>
  </si>
  <si>
    <t>Renewal Offer - Document Transmission Confirmed - RNL Pre Chaser Letter</t>
  </si>
  <si>
    <t>Renewal Offer - Emailed Document Failed - RNL Van Suitability</t>
  </si>
  <si>
    <t>New Business - Document Transmission Confirmed - Terms Of Business</t>
  </si>
  <si>
    <t>Document Chase - Document Transmitted - Client Cancellation Letter</t>
  </si>
  <si>
    <t>2B - Direct Debit Mandate:- Attempt - 1 - Accepted</t>
  </si>
  <si>
    <t>Document Chase - Document Posted Confirmation - Document Checklist SMS</t>
  </si>
  <si>
    <t>Document Chase - Saved Document - Client Cancellation Letter</t>
  </si>
  <si>
    <t>Document Chase - Document Transmission Failed - Insurer Doc 1_Placeholder</t>
  </si>
  <si>
    <t>New Business - Emailed Document - ZU1 - Zur Breakdown Van</t>
  </si>
  <si>
    <t>Document Chase - Edited Document - Client Cancellation Letter</t>
  </si>
  <si>
    <t>Renewal Offer - Document Posted Confirmation - Attachment 8</t>
  </si>
  <si>
    <t>Renewal Offer - Document Transmission Confirmed - Attachment 6</t>
  </si>
  <si>
    <t>New Business - Sent To Document Processing - Attachment 1</t>
  </si>
  <si>
    <t>New Business - Document Posted Confirmation - Insurer Doc 1_Placeholder</t>
  </si>
  <si>
    <t>Renewal Offer - Document Transmission Confirmed - Attachment 7</t>
  </si>
  <si>
    <t>Document Chase - Document Posted Confirmation - PC Chase Letter</t>
  </si>
  <si>
    <t>2F - Additional Driver:- Attempt - 1 - Accepted</t>
  </si>
  <si>
    <t>Renewal - Payment Failure - AUTH CODE</t>
  </si>
  <si>
    <t>New Business - Sent To Document Processing - Document Checklist SMS</t>
  </si>
  <si>
    <t>New Business - Document Posted Confirmation - DDM_Placeholder</t>
  </si>
  <si>
    <t>Renewal Offer - Document Posted Confirmation - RNL Held</t>
  </si>
  <si>
    <t>Renewal Offer - Sent To Document Processing - RNL Pre Chaser Letter</t>
  </si>
  <si>
    <t>Document Chase - Sent To Document Processing - Client Cancellation Letter</t>
  </si>
  <si>
    <t>Document Chase - Document Transmission Confirmed - PC Chase Letter</t>
  </si>
  <si>
    <t>New Business - Emailed Document - Insurer Doc 3_Placeholder</t>
  </si>
  <si>
    <t>Document Chase - Document Transmitted - Document Checklist Email</t>
  </si>
  <si>
    <t>New Business - Document Transmitted - CV Suitability Statment</t>
  </si>
  <si>
    <t>Renewal Offer - Document Transmission Confirmed - RNL Held</t>
  </si>
  <si>
    <t>Document Chase - Emailed Document - Document Checklist Email</t>
  </si>
  <si>
    <t>New Business - Document Transmitted - Terms Of Business</t>
  </si>
  <si>
    <t>New Business - Saved Document - Motor SOF / Proposal_Placeholder</t>
  </si>
  <si>
    <t>New Business - Document Transmitted - Document Checklist Email</t>
  </si>
  <si>
    <t>Renewal Offer - Document Transmitted - RNL Pre Chaser Letter</t>
  </si>
  <si>
    <t>New Business - Sent To Document Processing - Document Checklist Email</t>
  </si>
  <si>
    <t>Renewal Offer - Saved Document - RNL Held</t>
  </si>
  <si>
    <t>New Business - Document Transmission Confirmed - Motor SOF / Proposal_Placeholder</t>
  </si>
  <si>
    <t>Document Chase - Saved Document - Document Checklist SMS</t>
  </si>
  <si>
    <t>Document Chase - Document Posted Confirmation - Document Checklist Email</t>
  </si>
  <si>
    <t>Document Chase - Document Transmission Confirmed - Document Checklist Email</t>
  </si>
  <si>
    <t>New Business - Document Posted Confirmation - Receipt_Template</t>
  </si>
  <si>
    <t>New Business - Sent To Document Processing - Terms Of Business</t>
  </si>
  <si>
    <t>Renewal Offer - Document Posted Confirmation - Attachment 6</t>
  </si>
  <si>
    <t>Reverse : Normal - Endorsement</t>
  </si>
  <si>
    <t>Renewal Offer - Sent To Document Processing - RNL Held</t>
  </si>
  <si>
    <t>New Business - Document Transmitted - Document Checklist SMS</t>
  </si>
  <si>
    <t>New Business - Document Posted Confirmation - Document Checklist Email</t>
  </si>
  <si>
    <t>Renewal Offer - Emailed Document Failed - Attachment 1</t>
  </si>
  <si>
    <t>New Business - Document Posted Confirmation - Document Checklist SMS</t>
  </si>
  <si>
    <t>Document Chase - Saved Document - PC Chase Letter</t>
  </si>
  <si>
    <t>Document Chase - Document Transmission Confirmed - Document Checklist SMS</t>
  </si>
  <si>
    <t>Renewal Offer - Emailed Document Failed - ZU1 - Zur Breakdown Van</t>
  </si>
  <si>
    <t>New Business - Document Posted Confirmation - Motor SOF / Proposal_Placeholder</t>
  </si>
  <si>
    <t>Document Chase - Document Transmission Confirmed - Client Cancellation Letter</t>
  </si>
  <si>
    <t>New Business - Document Transmitted - Insurer Doc 1_Placeholder</t>
  </si>
  <si>
    <t>New Business - Saved Document - Commerical Vehicle Cover Letter</t>
  </si>
  <si>
    <t>Document Chase - Document Posted Confirmation - Client Cancellation Letter</t>
  </si>
  <si>
    <t>Renewal Offer - Saved Document - Attachment 8</t>
  </si>
  <si>
    <t>Renewal Offer - Document Transmitted - Attachment 6</t>
  </si>
  <si>
    <t>New Business - Sent To Document Processing - ZU1 - Zur Breakdown Van</t>
  </si>
  <si>
    <t>PolicyTypeGroup</t>
  </si>
  <si>
    <t>PolicyCount</t>
  </si>
  <si>
    <t>EventCount</t>
  </si>
  <si>
    <t>New Business - Emailed Document - 300 NB Home Email</t>
  </si>
  <si>
    <t>New Business - Emailed Document - Terms Of Business</t>
  </si>
  <si>
    <t>New Business - Emailed Document - Cover Letter</t>
  </si>
  <si>
    <t>New Business - Emailed Document - 04 - Suitability Statement</t>
  </si>
  <si>
    <t>New Business - Emailed Document - Receipt</t>
  </si>
  <si>
    <t>New Business - Emailed Document - Statement Of Fact</t>
  </si>
  <si>
    <t>New Business - Emailed Document - Schedule</t>
  </si>
  <si>
    <t>New Business - Emailed Document - InsuranceProductInformationDocument</t>
  </si>
  <si>
    <t>New Business - Emailed Document - PremiumBreakdown</t>
  </si>
  <si>
    <t>New Business - Emailed Document - StatementOfFact</t>
  </si>
  <si>
    <t>New Business - Emailed Document - Insurance Product Information Document</t>
  </si>
  <si>
    <t>New Business - Emailed Document - Interested Party</t>
  </si>
  <si>
    <t>New Business - Emailed Document - InterestedParty</t>
  </si>
  <si>
    <t>New Business - Emailed Document - Quote Breakdown</t>
  </si>
  <si>
    <t>Renewal Offer - Emailed Document - RNL Suitability Statement Home</t>
  </si>
  <si>
    <t>Renewal Offer - Emailed Document - 10E Email Template</t>
  </si>
  <si>
    <t>Renewal Offer - Emailed Document - 06E Home Renewal Notice</t>
  </si>
  <si>
    <t>Renewal Offer - Emailed Document - 02E Statement Of Risk</t>
  </si>
  <si>
    <t>Renewal Offer - Emailed Document - 05E Terms Of Business</t>
  </si>
  <si>
    <t>Renewal Offer - Emailed Document - 01E - Cover Letter</t>
  </si>
  <si>
    <t>Renewal Transfer - Emailed Document - RE3 Home Ext Cover email Receipt</t>
  </si>
  <si>
    <t>New Business - Document Transmitted - Home Cover Letter</t>
  </si>
  <si>
    <t>New Business - Emailed Document - Premium Breakdown</t>
  </si>
  <si>
    <t>New Business - Emailed Document - Key Facts</t>
  </si>
  <si>
    <t>New Business - Document Transmitted - Home Suitability Statement</t>
  </si>
  <si>
    <t>New Business - Document Transmitted - Home SOF / Proposal_Placeholder</t>
  </si>
  <si>
    <t>New Business - Document Transmitted - Home Schedule_Placeholder</t>
  </si>
  <si>
    <t>Renewal Offer - Emailed Document - 09E Home Excess Statement</t>
  </si>
  <si>
    <t>New Business - Emailed Document - Home Suitability Statement</t>
  </si>
  <si>
    <t>Renewal Offer - Emailed Document - 07E Home Renewal Schedule</t>
  </si>
  <si>
    <t>New Business - Emailed Document - Home Cover Letter</t>
  </si>
  <si>
    <t>Renewal Confirmation - Emailed Document - Home Schedule_Placeholder</t>
  </si>
  <si>
    <t>Renewal Confirmation - Emailed Document - Letter - Home Renewal Transfer (roll over) V1</t>
  </si>
  <si>
    <t>Prior Year Quotes - Emailed Document - Auto Rollover Email fix</t>
  </si>
  <si>
    <t>Renewal Confirmation - Emailed Document - 04 - Suitability Statement</t>
  </si>
  <si>
    <t>Renewal Confirmation - Emailed Document - Home SOF / Proposal_Placeholder</t>
  </si>
  <si>
    <t>New Business - Emailed Document - Home Schedule_Placeholder</t>
  </si>
  <si>
    <t>Renewal Transfer - Emailed Document - Receipt Batch Email</t>
  </si>
  <si>
    <t>Renewal Confirmation - Emailed Document - Receipt_Template</t>
  </si>
  <si>
    <t>New Business - Document Transmitted - Home LOI_Placeholder</t>
  </si>
  <si>
    <t>New Business - Emailed Document - Home SOF / Proposal_Placeholder</t>
  </si>
  <si>
    <t>Renewal Offer - Emailed Document - 08E Home Claims Statement</t>
  </si>
  <si>
    <t>New Business - Emailed Document - Interested Party - Bank of Ireland Mortgages(Dublin - 2 College Green)</t>
  </si>
  <si>
    <t>Renewal Transfer - Emailed Document - Rnl Conf Cover Email Home Rollover v2</t>
  </si>
  <si>
    <t>New Business - Emailed Document - Chill Terms of Business</t>
  </si>
  <si>
    <t>Renewal Offer - Emailed Document - Home Auto Renewal DD</t>
  </si>
  <si>
    <t>Renewal Confirmation - Emailed Document - Insurer Doc 3_Placeholder</t>
  </si>
  <si>
    <t>Prior Year Quotes - Emailed Document - CXL Notice - No Action</t>
  </si>
  <si>
    <t>Duplicate Certificate - Document Transmitted - Cover Letter</t>
  </si>
  <si>
    <t>Duplicate Certificate - Document Transmitted - Certificate</t>
  </si>
  <si>
    <t>Permanent MTA - Document Transmitted - Statement Of Risk</t>
  </si>
  <si>
    <t>Permanent MTA - Document Transmitted - Schedule</t>
  </si>
  <si>
    <t>Permanent MTA - Document Transmitted - MTA Issue C&amp;D Letter</t>
  </si>
  <si>
    <t>New Business - Emailed Document - Suitability Statement</t>
  </si>
  <si>
    <t>New Business - Emailed Document - NB Motor Email Body</t>
  </si>
  <si>
    <t>Permanent MTA - Document Transmitted - Certificate</t>
  </si>
  <si>
    <t>New Business - Document Transmitted - NB Cert Issue Letter</t>
  </si>
  <si>
    <t>New Business - Document Transmitted - Certificate</t>
  </si>
  <si>
    <t>Permanent MTA - Document Transmitted - Statement Of Fact</t>
  </si>
  <si>
    <t>Permanent MTA - Document Transmitted - Receipt</t>
  </si>
  <si>
    <t>New Business - Emailed Document - Gap In Cover Letter</t>
  </si>
  <si>
    <t>New Business - Emailed Document - Policy Benefits</t>
  </si>
  <si>
    <t>New Business - Emailed Document - Policy Exclusions</t>
  </si>
  <si>
    <t>New Business - Emailed Document - Proposal</t>
  </si>
  <si>
    <t>Duplicate Certificate - Document Transmitted - IV5 - Ivernia C&amp;D B Post</t>
  </si>
  <si>
    <t>Renewal Confirmation - Emailed Document - RNL Cover Con Motor Email</t>
  </si>
  <si>
    <t>Renewal Confirmation - Emailed Document - Suitability Statement</t>
  </si>
  <si>
    <t>Renewal Confirmation - Emailed Document - Insurance Product Information Document</t>
  </si>
  <si>
    <t>Renewal Confirmation - Emailed Document - Statement Of Risk</t>
  </si>
  <si>
    <t>Renewal Confirmation - Emailed Document - Cover Letter</t>
  </si>
  <si>
    <t>Renewal Confirmation - Emailed Document - Schedule</t>
  </si>
  <si>
    <t>Renewal Offer - Emailed Document - Insurance Product Information Document</t>
  </si>
  <si>
    <t>Renewal Offer - Emailed Document - Suitability Statement</t>
  </si>
  <si>
    <t>Permanent MTA - Document Transmitted - Proposal</t>
  </si>
  <si>
    <t>Renewal Offer - Emailed Document - Proof Of Bonus</t>
  </si>
  <si>
    <t>Renewal Offer - Emailed Document - Survey</t>
  </si>
  <si>
    <t>Renewal Offer - Emailed Document - Terms Of Business</t>
  </si>
  <si>
    <t>Renewal Offer - Emailed Document - ROM - Cover Letter</t>
  </si>
  <si>
    <t>Renewal Offer - Emailed Document - Renewal Invitation</t>
  </si>
  <si>
    <t>Renewal Transfer - Emailed Document - Motor Suitability Statement</t>
  </si>
  <si>
    <t>Renewal Confirmation - Document Transmitted - RNL Cert Issue Letter</t>
  </si>
  <si>
    <t>Renewal Transfer - Emailed Document - Schedule</t>
  </si>
  <si>
    <t>Renewal Confirmation - Document Transmitted - Certificate</t>
  </si>
  <si>
    <t>Renewal Transfer - Emailed Document - Cover Letter</t>
  </si>
  <si>
    <t>Renewal Transfer - Emailed Document - Insurance Product Information Document</t>
  </si>
  <si>
    <t>Renewal Transfer - Emailed Document - RNL Cover Con Motor Email</t>
  </si>
  <si>
    <t>Renewal Confirmation - Emailed Document - Receipt</t>
  </si>
  <si>
    <t>Renewal Offer - Emailed Document - Statement Of Fact</t>
  </si>
  <si>
    <t>Renewal Transfer - Document Transmitted - RNL Cert Issue Letter</t>
  </si>
  <si>
    <t>Renewal Transfer - Document Transmitted - Certificate</t>
  </si>
  <si>
    <t>Renewal Transfer - Emailed Document - Statement Of Fact</t>
  </si>
  <si>
    <t>Renewal Confirmation - Emailed Document - Statement Of Fact</t>
  </si>
  <si>
    <t>Renewal Transfer - Emailed Document - Receipt</t>
  </si>
  <si>
    <t>Renewal Offer - Emailed Document - Quote Breakdown</t>
  </si>
  <si>
    <t>Renewal Offer - Emailed Document - 03 - RNL Held Email</t>
  </si>
  <si>
    <t>Renewal Confirmation - Emailed Document - Quote Breakdown</t>
  </si>
  <si>
    <t>Renewal Confirmation - Emailed Document - Data Protection Details</t>
  </si>
  <si>
    <t>Renewal Transfer - Emailed Document - Proposal</t>
  </si>
  <si>
    <t>Renewal Confirmation - Emailed Document - Policy Exclusions</t>
  </si>
  <si>
    <t>Renewal Confirmation - Emailed Document - Policy Benefits</t>
  </si>
  <si>
    <t>Renewal Offer - Emailed Document - Premium and Claims Summary</t>
  </si>
  <si>
    <t>Renewal Offer - Emailed Document - 05M - Terms of Business</t>
  </si>
  <si>
    <t>Renewal Offer - Emailed Document - 04M - Renewal Offer Suitability Statement - Motor</t>
  </si>
  <si>
    <t>Renewal Transfer - Emailed Document - Data Protection Details</t>
  </si>
  <si>
    <t>Renewal Transfer - Emailed Document - Quote Breakdown</t>
  </si>
  <si>
    <t>Renewal Transfer - Emailed Document - Policy Exclusions</t>
  </si>
  <si>
    <t>Renewal Offer - Emailed Document - 03M - Insurer Statment of Fact</t>
  </si>
  <si>
    <t>Renewal Transfer - Emailed Document - Policy Benefits</t>
  </si>
  <si>
    <t>Document Chase - Emailed Document - PC Chase Letter</t>
  </si>
  <si>
    <t>Renewal Offer - Emailed Document - 09M - Insurer Document</t>
  </si>
  <si>
    <t>Renewal Confirmation - Emailed Document - Proposal</t>
  </si>
  <si>
    <t>Renewal Offer - Emailed Document - 07M - No Claims Bonus</t>
  </si>
  <si>
    <t>Renewal Offer - Emailed Document - Schedule</t>
  </si>
  <si>
    <t>Renewal Offer - Emailed Document - RNL Ivernia Offer Email</t>
  </si>
  <si>
    <t>Renewal Offer - Emailed Document - FU3 - FUL RNL Offer Email</t>
  </si>
  <si>
    <t>Renewal Confirmation - Document Transmitted - Suitability Statement</t>
  </si>
  <si>
    <t>New Business - Document Transmitted - Motor Suitability Statement</t>
  </si>
  <si>
    <t>Document Chase - Document Transmitted - Attachment 1</t>
  </si>
  <si>
    <t>Prior Year Quotes - Emailed Document - CXL Notice - Action Needed</t>
  </si>
  <si>
    <t>New Business - Document Transmitted - Gap In Cover Letter</t>
  </si>
  <si>
    <t>New Business - Document Transmitted - Quote Breakdown</t>
  </si>
  <si>
    <t>New Business - Document Transmitted - Insurer Doc 2_Placeholder</t>
  </si>
  <si>
    <t>Renewal Confirmation - Emailed Document Failed - Cover Letter</t>
  </si>
  <si>
    <t>Renewal Offer - Emailed Document - RNL Motor Email Offer</t>
  </si>
  <si>
    <t>Renewal Confirmation - Document Transmitted - Statement Of Risk</t>
  </si>
  <si>
    <t>Renewal Confirmation - Emailed Document - Key Care</t>
  </si>
  <si>
    <t>Renewal Confirmation - Document Transmitted - Receipt</t>
  </si>
  <si>
    <t>Renewal Offer - Document Transmitted - RNL Motor Email Offer</t>
  </si>
  <si>
    <t>New Business - Document Transmitted - Insurance Product Information Document</t>
  </si>
  <si>
    <t>New Business - Document Transmitted - Policy Benefits</t>
  </si>
  <si>
    <t>New Business - Document Transmitted - Policy Exclusions</t>
  </si>
  <si>
    <t>New Business - Document Transmitted - Statement Of Fact</t>
  </si>
  <si>
    <t>Renewal Offer - Emailed Document - Proposal</t>
  </si>
  <si>
    <t>Renewal Confirmation - Emailed Document Failed - Suitability Statement</t>
  </si>
  <si>
    <t>Renewal Confirmation - Emailed Document Failed - Insurance Product Information Document</t>
  </si>
  <si>
    <t>Renewal Offer - Document Transmitted - 05M - Terms of Business</t>
  </si>
  <si>
    <t>Renewal Confirmation - Document Transmitted - Proposal</t>
  </si>
  <si>
    <t>Renewal Confirmation - Emailed Document Failed - Receipt</t>
  </si>
  <si>
    <t>Renewal Confirmation - Emailed Document Failed - Policy Benefits</t>
  </si>
  <si>
    <t>Renewal Confirmation - Emailed Document Failed - Data Protection Details</t>
  </si>
  <si>
    <t>Renewal Confirmation - Emailed Document Failed - Statement Of Risk</t>
  </si>
  <si>
    <t>Document Chase - Document Transmitted - Attachment 2</t>
  </si>
  <si>
    <t>Renewal Confirmation - Emailed Document Failed - Quote Breakdown</t>
  </si>
  <si>
    <t>Renewal Confirmation - Emailed Document Failed - Schedule</t>
  </si>
  <si>
    <t>New Business - Document Transmitted - Cover Letter</t>
  </si>
  <si>
    <t>New Business - Document Transmitted - Schedule</t>
  </si>
  <si>
    <t>Renewal Confirmation - Document Transmitted - Schedule</t>
  </si>
  <si>
    <t>Renewal Confirmation - Document Transmitted - Cover Letter</t>
  </si>
  <si>
    <t>New Business - Document Transmitted - New Business Motor Cover Letter</t>
  </si>
  <si>
    <t>Document Chase - Document Transmitted - Attachment 3</t>
  </si>
  <si>
    <t>Renewal Offer - Emailed Document - Claims Letter</t>
  </si>
  <si>
    <t>Renewal Offer - Document Transmitted - 06M - Renewal Notice</t>
  </si>
  <si>
    <t>New Business - Document Transmitted - Suitability Statement</t>
  </si>
  <si>
    <t>Renewal Confirmation - Document Transmitted - Insurance Product Information Document</t>
  </si>
  <si>
    <t>New Business - Document Transmitted - Receipt</t>
  </si>
  <si>
    <t>Renewal Confirmation - Emailed Document Failed - Policy Exclusions</t>
  </si>
  <si>
    <t>Renewal Offer - Document Transmitted - 04M - Renewal Offer Suitability Statement - Motor</t>
  </si>
  <si>
    <t>New Business - Emailed Document - Attachment 2</t>
  </si>
  <si>
    <t>Discrepancy  Classification</t>
  </si>
  <si>
    <t>The differences are eligible for the logic as presented. So have asked data team to validate why the quotes are excluded</t>
  </si>
  <si>
    <t>Needs further investigation</t>
  </si>
  <si>
    <t> Reconciled within acceptable variance</t>
  </si>
  <si>
    <t>No Discrepancy</t>
  </si>
  <si>
    <t>HR1a + HR1b</t>
  </si>
  <si>
    <t>Renewal invitation sent by EMAIL / Post</t>
  </si>
  <si>
    <t>Some are sent both by email and post. Counting them separate includes them on both channels. Tableau does not split them by channel. Fabric splits them by channel</t>
  </si>
  <si>
    <t> </t>
  </si>
  <si>
    <t>765 MFQ records which are GDPR-ed do not connect with genesys records. This leads to the MFQ records being not considered in the SQL09 report. Fabric data is as of August 6 which keeps those MFQ records without them being GDPR-ed so they connect with Genesys call records and reduce the metric's volume</t>
  </si>
  <si>
    <t>Reconciled outside variance but understood</t>
  </si>
  <si>
    <t>Reports apply only for offered customers, Fabric counted all failed logins</t>
  </si>
  <si>
    <t>R1a + R1b</t>
  </si>
  <si>
    <t>R3b + R3c</t>
  </si>
  <si>
    <t>Fabric counts retrieval of quotes created in the current month while SQL09 includes quotes created in previous month but retrieved in currrent month. Since the rest of the metrics are covering July quotes only, this was left unchanged</t>
  </si>
  <si>
    <t>Fabric counts sales based on quotes started in July. SQL09 counts Sales where a corresponding quote is in June as well. Since the rest of the metrics are covering July quotes only, this was left unchanged</t>
  </si>
  <si>
    <t>Failed login after sent campaign</t>
  </si>
  <si>
    <t>Successful login after sent campaign</t>
  </si>
  <si>
    <t>Attempted login after sent campaign</t>
  </si>
  <si>
    <t>Date</t>
  </si>
  <si>
    <t>Person</t>
  </si>
  <si>
    <t>Channel</t>
  </si>
  <si>
    <t>Type</t>
  </si>
  <si>
    <t>Content</t>
  </si>
  <si>
    <t>17.08.2026</t>
  </si>
  <si>
    <t>Kamran</t>
  </si>
  <si>
    <t>Email</t>
  </si>
  <si>
    <t>Ask for sign-off</t>
  </si>
  <si>
    <t>Shared Motor_Journey_Frameworks.xlsx workbook, with Motor done</t>
  </si>
  <si>
    <t>Amber</t>
  </si>
  <si>
    <t>Renewal Flow
R2.B1.F1 I would argue that regardless of whether the price does or does not beat renewal price it is a friction point, not just circumstances where the new quote does not beat the renewal price
                                                              i.      Does beat renewal price – customer will either book as a new policy which has manual overheads/might lead to a pattern of behaviour of doing this every year and effectively try to “beat the system” or go elsewhere as they don’t “trust” that we do what we advertise which is getting the customer the best price
                                                            ii.      Does not beat renewal price – customer may go elsewhere as they were potentially looking for a cheaper price in the first place
R2.F3 – Darragh confirmed it goes nowhere
R1.E1 – another point of friction would be when these don’t work, a customer misses their renewal date and they’re no longer covered – we do get complaints along these lines
KeyCare question – I would say this is a renewal/new business incentive, you can only buy it when you purchase a new policy or renew an existing one
R3B1.2 – Winback, LYR, LYQ are not part of this Episode – they should be counted as the start of the online Happy Path in acquisition flow
R4.B2.2 – yes Digital
Acquisition Flow
A1.E1 – this is an email AND an SMS, both sent 7 minutes after hitting continue in Step 1
A2.E1.F1 – the quote ref doesn’t need to be inputted by the customer, this is pre-populated in the URL however the customer does have submit either their DOB or Reg plate, so either of these could be inputted incorrectly and lead to friction
A4a or A5a – should there not be another point of friction when the payment fails? This could be a technical error within Chill or payment details incorrect/no funds
A5.1 – the email doesn’t say Motor whatever product was bought, we have separate Home, Motor and Van ones
Branch Journey 3 – ‘standard provider’ isn’t the right terminology, Close Brothers Finance are our old finance provider, so you’ll see data slowly start to stop as the current loans filter out and are transferred to Premium Credit loans. Premium Credit are our new provider and your best contact on where to find the data would be Gavin
Branch Journey 4 – this process is being changed over the next month or so and will be fully automated and sent via XP – will you need to know when this goes live?
MTA Flow
M5 – there is currently no confirmation email sent when the MTA is processed, so a friction point is when customers ring back to double check it all went through – especially if no changes to premium/reversal. The only email that is sent is a receipt when the premium increases.
MTA Types – I believe there are a lot more than 5 MTA types, who has this been checked with?
Cancellation Flow
Our old provider Close Brothers Finance don’t do any chases, this is all done by the Arrears Chase campaign in Chill
Premium Credit Finance do do their own chases, and there are no additional chases from Chill
Arrears Flow
As above re. Close Brothers Finance and Premium Credit Finance chases
Claims Flow
CL3.F1 – we don’t send any follow ups during/after claims process so customers may not always know it’s being actioned as I am not sure the insurer provide these updates either
Doc Request Flow
There is an ongoing project to digitise this called “DigiDocs” part of it is already in-flight, I think it would be worth speaking to Darragh about this and ensuring the data points you need to capture are, as I would say someone repeatedly downloading the same document over and over, especially NCB certificate, is an indicator of churn</t>
  </si>
  <si>
    <t>18.08.2026</t>
  </si>
  <si>
    <t>Alex</t>
  </si>
  <si>
    <t>Acquisition entry points – PPC generic or brand, SEO generic or brand, direct to site, CRM – brand vs generic a key potential indicator
On MTA / change – we looked at website search (page visits to specific pages) as an indicator before / start point – shows digital engagement, would have done it online but no call etc</t>
  </si>
  <si>
    <t>19.08.2026</t>
  </si>
  <si>
    <t>Shared Chill_Episode_Frameworks.xlsx, with Home, Van &amp; Travel</t>
  </si>
  <si>
    <t>21.08.2026</t>
  </si>
  <si>
    <t>Motor
Need the Day 60 comm clarified – people may call in off that – Amber
Need the immediate post-payment portal doc capture step
New business pack sent immediate post payment
Loan and doc upload run in parallel
Loan – app download, doc upload partial, doc upload complete, approved
Home – acquisition
Step 1 to Step 6 shown in Sl12 – I’ll confirm step 6 is quote display – same entry points etc
Doc upload – not the same requirements as motor – need to check with ops
ToB and Policy docs sent – need to check these are different steps - Ops</t>
  </si>
  <si>
    <t>21.08.2027</t>
  </si>
  <si>
    <t>Questions</t>
  </si>
  <si>
    <t>Home – renewals
Needs the Day 60 – Amber
Not sure what the presented step with no data you’re highlighting is?
Failed log in – this is tracked, SL8. Amber the figures – unique log in success / failure / total – total and success are often similar. Does this mean people failed but eventually got through?
Online requote – this is on HFQ – the issue we’ve flagged on SCV is the high volumes. There is a path where people then buy through HFQ (as with MFQ) – this creates back end complexity. Not sure how it changes customer journey – one for Ops team
Are we tracking engagement with CRM? Its not friction but is an behavioural indicator – comms engaged etc
Payment success / fail- this should be tracked
Roll-over – a much higher proportion of Home rolls over – this would be another happy path – offer / rollover. Amber – for roll over customers, do we still send the chase comms / how tailored?
Home – aquisition
Service retrieve – is that still Amber - sendgrid / same as motor
Web assist – not recorded – you should be able to see same phone number etc log in, may have a better view than us?</t>
  </si>
  <si>
    <t>Renewals Day 60 comm – this is product agnostic, everyone gets the same email regardless of product; it is only within the copy that we dynamically pull in product name. Total send volume in July was 21,651 and this is all products excluding Travel.
Home Roll Over – these customers are still in the Renewal chase as there is no way to identify them accurately in the DWH to exclude them.
Home Service Retrieve is sent by Send Grid in the same way as Motor</t>
  </si>
  <si>
    <t xml:space="preserve"> </t>
  </si>
  <si>
    <t>Volume</t>
  </si>
  <si>
    <t>Rollover -- Finance?</t>
  </si>
  <si>
    <t xml:space="preserve">Final chase from Chill to Customer? </t>
  </si>
  <si>
    <t>Renewal Confirmation - Emailed Document - Home LOI_Placeholder</t>
  </si>
  <si>
    <t>Renewal Confirmation - Emailed Document - Email - Home Renewal Confirmation (roll over) V1</t>
  </si>
  <si>
    <t>Renewal Confirmation - Document Transmitted - Receipt_Template</t>
  </si>
  <si>
    <t>Renewal Confirmation - Document Transmitted - Home Ext Cover Letter_Receipt</t>
  </si>
  <si>
    <t>Renewal Confirmation - Emailed Document - Insurer Doc 1_Placeholder</t>
  </si>
  <si>
    <t>Renewal Confirmation - Document Transmitted - Home SOF / Proposal_Placeholder</t>
  </si>
  <si>
    <t>New Business - Document Transmitted - 04 - Suitability Statement</t>
  </si>
  <si>
    <t>Renewal Confirmation - Document Transmitted - 04 - Suitability Statement</t>
  </si>
  <si>
    <t>Renewal Confirmation - Document Transmitted - Home Transfer Cover Letter_Receipt</t>
  </si>
  <si>
    <t>Renewal Confirmation - Document Transmitted - Home Schedule_Placeholder</t>
  </si>
  <si>
    <t>Renewal Confirmation - Document Transmitted - Insurer Doc 3_Placeholder</t>
  </si>
  <si>
    <t>New Business - Document Transmitted - PremiumBreakdown</t>
  </si>
  <si>
    <t>New Business - Document Transmitted - InsuranceProductInformationDocument</t>
  </si>
  <si>
    <t>New Business - Document Transmitted - StatementOfFact</t>
  </si>
  <si>
    <t>Renewal Confirmation - Document Transmitted - Letter - Home Renewal Transfer (roll over) V1</t>
  </si>
  <si>
    <t>Renewal Confirmation - Document Transmitted - Home LOI_Placeholder</t>
  </si>
  <si>
    <t>New Business - Document Transmitted - Premium Breakdown</t>
  </si>
  <si>
    <t>New Business - Document Transmitted - Key Facts</t>
  </si>
  <si>
    <t>New Business - Document Transmitted - Interested Party</t>
  </si>
  <si>
    <t>Renewal Confirmation - Emailed Document - DDM_Placeholder</t>
  </si>
  <si>
    <t>New Business - Emailed Document - Direct Debit Mandate</t>
  </si>
  <si>
    <t>Renewal Confirmation - Document Transmitted - DDM_Placeholder</t>
  </si>
  <si>
    <t>Renewal Confirmation - Document Transmitted - Insurer Doc 1_Placeholder</t>
  </si>
  <si>
    <t>New Business - Document Transmitted - InterestedParty</t>
  </si>
  <si>
    <t>Renewal Confirmation - Document Transmitted - Letter - Home Renewal Confirmation (roll over) V1</t>
  </si>
  <si>
    <t>New Business - Document Transmitted - 300 NB Home Email</t>
  </si>
  <si>
    <t>Prior Year Quotes - Document Transmitted - Auto Rollover Letter fix</t>
  </si>
  <si>
    <t>New Business - Emailed Document - Document Checklist Email</t>
  </si>
  <si>
    <t>New Business - Emailed Document - Interested Party - Bank of Ireland Mortgages(40 Mespil Road)</t>
  </si>
  <si>
    <t>New Business - Emailed Document - Interested Party - Permanent TSB(Head Office)</t>
  </si>
  <si>
    <t>New Business - Emailed Document - 04E Suitability Statement</t>
  </si>
  <si>
    <t>New Business - Emailed Document - Document Checklist SMS</t>
  </si>
  <si>
    <t>New Business - Emailed Document - Interested Party - EBS D.A.C(Head Office)</t>
  </si>
  <si>
    <t>Renewal Confirmation - Document Transmitted - Email - Home Renewal Confirmation (roll over) V1</t>
  </si>
  <si>
    <t>Document Chase - Document Transmitted - Chase Final Notice Letter</t>
  </si>
  <si>
    <t>New Business - Emailed Document - Home LOI_Placeholder</t>
  </si>
  <si>
    <t>New Business - Emailed Document - Interested Party - Bank of Ireland Mortgage Bank(Dublin - IFSC)</t>
  </si>
  <si>
    <t>New Business - Emailed Document - Interested Party - Ulster Bank Ireland DAC(Head Office)</t>
  </si>
  <si>
    <t>New Business - Emailed Document - Interested Party - Nua Money Limited(Grand Canal Dock)</t>
  </si>
  <si>
    <t>Document Chase - Document Transmitted - Document Checklist</t>
  </si>
  <si>
    <t>New Business - Emailed Document - Interested Party - AIB Bank PLC(Dublin)</t>
  </si>
  <si>
    <t>Renewal Transfer - Document Transmitted - Rnl Conf Cover Email Home Rollover 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</si>
</sst>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
    <numFmt numFmtId="166" formatCode="_-* #,##0_-;\-* #,##0_-;_-* &quot;-&quot;??_-;_-@_-"/>
  </numFmts>
  <fonts count="18">
    <font>
      <sz val="11"/>
      <color theme="1"/>
      <name val="Aptos Narrow"/>
      <family val="2"/>
      <scheme val="minor"/>
    </font>
    <font>
      <sz val="11"/>
      <color theme="0"/>
      <name val="Aptos Narrow"/>
      <family val="2"/>
      <scheme val="minor"/>
    </font>
    <font>
      <sz val="10"/>
      <color rgb="FF000000"/>
      <name val="Arial"/>
      <family val="2"/>
    </font>
    <font>
      <sz val="10"/>
      <color rgb="FF7F6000"/>
      <name val="Arial"/>
      <family val="2"/>
    </font>
    <font>
      <b/>
      <sz val="10"/>
      <color rgb="FFFFFFFF"/>
      <name val="Arial"/>
      <family val="2"/>
    </font>
    <font>
      <sz val="11"/>
      <color theme="1"/>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10"/>
      <color rgb="FFFF0000"/>
      <name val="Arial"/>
      <family val="2"/>
    </font>
    <font>
      <strike/>
      <sz val="11"/>
      <color theme="1"/>
      <name val="Aptos Narrow"/>
      <family val="2"/>
      <scheme val="minor"/>
    </font>
    <font>
      <strike/>
      <sz val="10"/>
      <color rgb="FF7F6000"/>
      <name val="Arial"/>
      <family val="2"/>
    </font>
    <font>
      <strike/>
      <sz val="10"/>
      <color rgb="FF000000"/>
      <name val="Arial"/>
      <family val="2"/>
    </font>
    <font>
      <sz val="11"/>
      <color rgb="FF000000"/>
      <name val="Aptos Narrow"/>
      <family val="2"/>
    </font>
    <font>
      <b/>
      <sz val="11"/>
      <color rgb="FFFFFFFF"/>
      <name val="Aptos Narrow"/>
      <family val="2"/>
    </font>
    <font>
      <sz val="11"/>
      <color rgb="FF242424"/>
      <name val="Aptos Narrow"/>
      <family val="2"/>
    </font>
    <font>
      <i/>
      <sz val="11"/>
      <color theme="0" tint="-0.34998626667073579"/>
      <name val="Aptos Narrow"/>
      <family val="2"/>
      <scheme val="minor"/>
    </font>
    <font>
      <sz val="11"/>
      <color theme="0" tint="-0.499984740745262"/>
      <name val="Aptos Narrow"/>
      <family val="2"/>
      <scheme val="minor"/>
    </font>
  </fonts>
  <fills count="17">
    <fill>
      <patternFill patternType="none"/>
    </fill>
    <fill>
      <patternFill patternType="gray125"/>
    </fill>
    <fill>
      <patternFill patternType="solid">
        <fgColor theme="9" tint="-0.499984740745262"/>
        <bgColor indexed="64"/>
      </patternFill>
    </fill>
    <fill>
      <patternFill patternType="solid">
        <fgColor rgb="FFFFFDE7"/>
      </patternFill>
    </fill>
    <fill>
      <patternFill patternType="solid">
        <fgColor rgb="FF1F3864"/>
      </patternFill>
    </fill>
    <fill>
      <patternFill patternType="solid">
        <fgColor rgb="FFFFFF00"/>
        <bgColor indexed="64"/>
      </patternFill>
    </fill>
    <fill>
      <patternFill patternType="solid">
        <fgColor rgb="FFF2F2F2"/>
      </patternFill>
    </fill>
    <fill>
      <patternFill patternType="solid">
        <fgColor theme="4"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156082"/>
        <bgColor rgb="FF156082"/>
      </patternFill>
    </fill>
    <fill>
      <patternFill patternType="solid">
        <fgColor rgb="FFFFFFFF"/>
        <bgColor rgb="FF000000"/>
      </patternFill>
    </fill>
    <fill>
      <patternFill patternType="solid">
        <fgColor theme="9" tint="0.79998168889431442"/>
        <bgColor rgb="FF000000"/>
      </patternFill>
    </fill>
    <fill>
      <patternFill patternType="solid">
        <fgColor theme="2" tint="-9.9978637043366805E-2"/>
        <bgColor rgb="FF000000"/>
      </patternFill>
    </fill>
    <fill>
      <patternFill patternType="solid">
        <fgColor theme="3" tint="0.89999084444715716"/>
        <bgColor indexed="64"/>
      </patternFill>
    </fill>
    <fill>
      <patternFill patternType="solid">
        <fgColor rgb="FFFF0000"/>
        <bgColor indexed="64"/>
      </patternFill>
    </fill>
  </fills>
  <borders count="3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BFBFBF"/>
      </left>
      <right/>
      <top/>
      <bottom/>
      <diagonal/>
    </border>
    <border>
      <left/>
      <right style="thin">
        <color rgb="FF000000"/>
      </right>
      <top/>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style="thin">
        <color rgb="FFBFBFBF"/>
      </top>
      <bottom/>
      <diagonal/>
    </border>
    <border>
      <left/>
      <right style="thin">
        <color rgb="FFBFBFBF"/>
      </right>
      <top/>
      <bottom style="thin">
        <color rgb="FFBFBFBF"/>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5" fillId="0" borderId="0" applyFont="0" applyFill="0" applyBorder="0" applyAlignment="0" applyProtection="0"/>
    <xf numFmtId="164" fontId="5" fillId="0" borderId="0" applyFont="0" applyFill="0" applyBorder="0" applyAlignment="0" applyProtection="0"/>
  </cellStyleXfs>
  <cellXfs count="208">
    <xf numFmtId="0" fontId="0" fillId="0" borderId="0" xfId="0"/>
    <xf numFmtId="0" fontId="1" fillId="2" borderId="0" xfId="0" applyFont="1" applyFill="1" applyAlignment="1">
      <alignment horizontal="center" vertical="center"/>
    </xf>
    <xf numFmtId="0" fontId="2"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4" fillId="4" borderId="0" xfId="0" applyFont="1" applyFill="1" applyAlignment="1">
      <alignment horizontal="left" vertical="center" wrapText="1"/>
    </xf>
    <xf numFmtId="0" fontId="2" fillId="5" borderId="1" xfId="0" applyFont="1" applyFill="1" applyBorder="1" applyAlignment="1">
      <alignment horizontal="center" vertical="center" wrapText="1"/>
    </xf>
    <xf numFmtId="0" fontId="4" fillId="4" borderId="0" xfId="0" applyFont="1" applyFill="1" applyAlignment="1">
      <alignment horizontal="center" vertical="center" wrapText="1"/>
    </xf>
    <xf numFmtId="10" fontId="2" fillId="5" borderId="1" xfId="1" applyNumberFormat="1" applyFont="1" applyFill="1" applyBorder="1" applyAlignment="1">
      <alignment horizontal="center" vertical="center" wrapText="1"/>
    </xf>
    <xf numFmtId="3" fontId="0" fillId="0" borderId="0" xfId="0" applyNumberFormat="1"/>
    <xf numFmtId="0" fontId="6" fillId="0" borderId="0" xfId="0" applyFont="1"/>
    <xf numFmtId="0" fontId="7" fillId="0" borderId="0" xfId="0" applyFont="1"/>
    <xf numFmtId="0" fontId="0" fillId="0" borderId="0" xfId="0" applyAlignment="1">
      <alignment wrapText="1"/>
    </xf>
    <xf numFmtId="0" fontId="8" fillId="0" borderId="0" xfId="0" applyFont="1" applyAlignment="1">
      <alignment wrapText="1"/>
    </xf>
    <xf numFmtId="0" fontId="3" fillId="3" borderId="1" xfId="0" quotePrefix="1" applyFont="1" applyFill="1"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vertical="center" wrapText="1"/>
    </xf>
    <xf numFmtId="10" fontId="2" fillId="5" borderId="2" xfId="1" applyNumberFormat="1" applyFont="1" applyFill="1" applyBorder="1" applyAlignment="1">
      <alignment horizontal="center" vertical="center" wrapText="1"/>
    </xf>
    <xf numFmtId="10" fontId="2" fillId="5" borderId="3" xfId="1" applyNumberFormat="1" applyFont="1" applyFill="1" applyBorder="1" applyAlignment="1">
      <alignment horizontal="center" vertical="center" wrapText="1"/>
    </xf>
    <xf numFmtId="0" fontId="3" fillId="3" borderId="3" xfId="0" applyFont="1" applyFill="1" applyBorder="1" applyAlignment="1">
      <alignment vertical="top" wrapText="1"/>
    </xf>
    <xf numFmtId="0" fontId="2" fillId="5" borderId="1" xfId="0" applyFont="1" applyFill="1" applyBorder="1" applyAlignment="1">
      <alignment horizontal="left" vertical="top" wrapText="1"/>
    </xf>
    <xf numFmtId="0" fontId="0" fillId="5" borderId="0" xfId="0" applyFill="1"/>
    <xf numFmtId="0" fontId="2" fillId="0" borderId="4" xfId="0" applyFont="1" applyBorder="1" applyAlignment="1">
      <alignment horizontal="left" vertical="top" wrapText="1"/>
    </xf>
    <xf numFmtId="0" fontId="2" fillId="0" borderId="3" xfId="0" applyFont="1" applyBorder="1" applyAlignment="1">
      <alignment horizontal="center" vertical="top" wrapText="1"/>
    </xf>
    <xf numFmtId="0" fontId="0" fillId="0" borderId="6" xfId="0" applyBorder="1"/>
    <xf numFmtId="0" fontId="0" fillId="0" borderId="11" xfId="0" applyBorder="1"/>
    <xf numFmtId="0" fontId="0" fillId="0" borderId="12" xfId="0" applyBorder="1"/>
    <xf numFmtId="0" fontId="2" fillId="6" borderId="1" xfId="0" applyFont="1" applyFill="1" applyBorder="1" applyAlignment="1">
      <alignment horizontal="left" vertical="top" wrapText="1"/>
    </xf>
    <xf numFmtId="0" fontId="0" fillId="8" borderId="7" xfId="0" applyFill="1" applyBorder="1"/>
    <xf numFmtId="0" fontId="0" fillId="8" borderId="8" xfId="0" applyFill="1" applyBorder="1"/>
    <xf numFmtId="0" fontId="0" fillId="8" borderId="6" xfId="0" applyFill="1" applyBorder="1"/>
    <xf numFmtId="0" fontId="0" fillId="8" borderId="0" xfId="0" applyFill="1"/>
    <xf numFmtId="0" fontId="0" fillId="9" borderId="7" xfId="0" applyFill="1" applyBorder="1"/>
    <xf numFmtId="0" fontId="0" fillId="9" borderId="8" xfId="0" applyFill="1" applyBorder="1"/>
    <xf numFmtId="0" fontId="0" fillId="9" borderId="6" xfId="0" applyFill="1" applyBorder="1"/>
    <xf numFmtId="0" fontId="0" fillId="9" borderId="11" xfId="0" applyFill="1" applyBorder="1"/>
    <xf numFmtId="0" fontId="0" fillId="9" borderId="12" xfId="0" applyFill="1" applyBorder="1"/>
    <xf numFmtId="0" fontId="0" fillId="10" borderId="0" xfId="0" applyFill="1" applyAlignment="1">
      <alignment wrapText="1"/>
    </xf>
    <xf numFmtId="0" fontId="0" fillId="10" borderId="0" xfId="0" applyFill="1" applyAlignment="1">
      <alignment horizontal="left" wrapText="1"/>
    </xf>
    <xf numFmtId="0" fontId="3" fillId="10" borderId="2" xfId="0" applyFont="1" applyFill="1" applyBorder="1" applyAlignment="1">
      <alignment vertical="top" wrapText="1"/>
    </xf>
    <xf numFmtId="0" fontId="3" fillId="10" borderId="1" xfId="0" applyFont="1" applyFill="1" applyBorder="1" applyAlignment="1">
      <alignment horizontal="left" vertical="top" wrapText="1"/>
    </xf>
    <xf numFmtId="0" fontId="2" fillId="0" borderId="1" xfId="0" quotePrefix="1" applyFont="1" applyBorder="1" applyAlignment="1">
      <alignment horizontal="left" vertical="top" wrapText="1"/>
    </xf>
    <xf numFmtId="0" fontId="0" fillId="5" borderId="0" xfId="0" applyFill="1" applyAlignment="1">
      <alignment wrapText="1"/>
    </xf>
    <xf numFmtId="0" fontId="0" fillId="0" borderId="0" xfId="0" quotePrefix="1" applyAlignment="1">
      <alignment wrapText="1"/>
    </xf>
    <xf numFmtId="0" fontId="9" fillId="5" borderId="2"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0" borderId="0" xfId="0" applyFont="1" applyAlignment="1">
      <alignment horizontal="left" vertical="top" wrapText="1"/>
    </xf>
    <xf numFmtId="0" fontId="3" fillId="3" borderId="2" xfId="0" applyFont="1" applyFill="1" applyBorder="1" applyAlignment="1">
      <alignment vertical="top" wrapText="1"/>
    </xf>
    <xf numFmtId="0" fontId="3" fillId="3" borderId="4" xfId="0" applyFont="1" applyFill="1" applyBorder="1" applyAlignment="1">
      <alignment vertical="top" wrapText="1"/>
    </xf>
    <xf numFmtId="0" fontId="0" fillId="5" borderId="0" xfId="0" applyFill="1" applyAlignment="1">
      <alignment vertical="center" wrapText="1"/>
    </xf>
    <xf numFmtId="0" fontId="3" fillId="10" borderId="3" xfId="0" applyFont="1" applyFill="1" applyBorder="1" applyAlignment="1">
      <alignment horizontal="left" vertical="top" wrapText="1"/>
    </xf>
    <xf numFmtId="0" fontId="0" fillId="5" borderId="5" xfId="0" applyFill="1" applyBorder="1" applyAlignment="1">
      <alignment horizontal="center" vertical="center"/>
    </xf>
    <xf numFmtId="0" fontId="13" fillId="13" borderId="0" xfId="0" applyFont="1" applyFill="1" applyAlignment="1">
      <alignment wrapText="1"/>
    </xf>
    <xf numFmtId="0" fontId="13" fillId="13" borderId="0" xfId="0" applyFont="1" applyFill="1"/>
    <xf numFmtId="0" fontId="13" fillId="14" borderId="0" xfId="0" applyFont="1" applyFill="1"/>
    <xf numFmtId="0" fontId="14" fillId="11" borderId="0" xfId="0" applyFont="1" applyFill="1"/>
    <xf numFmtId="0" fontId="14" fillId="11" borderId="0" xfId="0" applyFont="1" applyFill="1" applyAlignment="1">
      <alignment wrapText="1"/>
    </xf>
    <xf numFmtId="0" fontId="13" fillId="14" borderId="0" xfId="0" applyFont="1" applyFill="1" applyAlignment="1">
      <alignment wrapText="1"/>
    </xf>
    <xf numFmtId="0" fontId="13" fillId="12" borderId="0" xfId="0" applyFont="1" applyFill="1"/>
    <xf numFmtId="0" fontId="13" fillId="12" borderId="0" xfId="0" applyFont="1" applyFill="1" applyAlignment="1">
      <alignment wrapText="1"/>
    </xf>
    <xf numFmtId="0" fontId="13" fillId="14" borderId="7" xfId="0" applyFont="1" applyFill="1" applyBorder="1"/>
    <xf numFmtId="0" fontId="13" fillId="14" borderId="8" xfId="0" applyFont="1" applyFill="1" applyBorder="1"/>
    <xf numFmtId="0" fontId="13" fillId="14" borderId="8" xfId="0" applyFont="1" applyFill="1" applyBorder="1" applyAlignment="1">
      <alignment wrapText="1"/>
    </xf>
    <xf numFmtId="0" fontId="13" fillId="14" borderId="9" xfId="0" applyFont="1" applyFill="1" applyBorder="1" applyAlignment="1">
      <alignment wrapText="1"/>
    </xf>
    <xf numFmtId="0" fontId="13" fillId="13" borderId="6" xfId="0" applyFont="1" applyFill="1" applyBorder="1"/>
    <xf numFmtId="0" fontId="13" fillId="13" borderId="10" xfId="0" applyFont="1" applyFill="1" applyBorder="1" applyAlignment="1">
      <alignment wrapText="1"/>
    </xf>
    <xf numFmtId="0" fontId="13" fillId="12" borderId="6" xfId="0" applyFont="1" applyFill="1" applyBorder="1"/>
    <xf numFmtId="0" fontId="13" fillId="12" borderId="10" xfId="0" applyFont="1" applyFill="1" applyBorder="1" applyAlignment="1">
      <alignment wrapText="1"/>
    </xf>
    <xf numFmtId="0" fontId="13" fillId="13" borderId="6" xfId="0" applyFont="1" applyFill="1" applyBorder="1" applyAlignment="1">
      <alignment wrapText="1"/>
    </xf>
    <xf numFmtId="0" fontId="13" fillId="14" borderId="6" xfId="0" applyFont="1" applyFill="1" applyBorder="1"/>
    <xf numFmtId="0" fontId="13" fillId="14" borderId="10" xfId="0" applyFont="1" applyFill="1" applyBorder="1" applyAlignment="1">
      <alignment wrapText="1"/>
    </xf>
    <xf numFmtId="0" fontId="13" fillId="14" borderId="11" xfId="0" applyFont="1" applyFill="1" applyBorder="1"/>
    <xf numFmtId="0" fontId="13" fillId="14" borderId="12" xfId="0" applyFont="1" applyFill="1" applyBorder="1"/>
    <xf numFmtId="0" fontId="13" fillId="14" borderId="13" xfId="0" applyFont="1" applyFill="1" applyBorder="1" applyAlignment="1">
      <alignment wrapText="1"/>
    </xf>
    <xf numFmtId="0" fontId="13" fillId="13" borderId="11" xfId="0" applyFont="1" applyFill="1" applyBorder="1" applyAlignment="1">
      <alignment wrapText="1"/>
    </xf>
    <xf numFmtId="0" fontId="13" fillId="13" borderId="12" xfId="0" applyFont="1" applyFill="1" applyBorder="1" applyAlignment="1">
      <alignment wrapText="1"/>
    </xf>
    <xf numFmtId="166" fontId="14" fillId="11" borderId="0" xfId="2" applyNumberFormat="1" applyFont="1" applyFill="1" applyBorder="1"/>
    <xf numFmtId="166" fontId="13" fillId="14" borderId="8" xfId="2" applyNumberFormat="1" applyFont="1" applyFill="1" applyBorder="1"/>
    <xf numFmtId="166" fontId="13" fillId="13" borderId="0" xfId="2" applyNumberFormat="1" applyFont="1" applyFill="1" applyBorder="1"/>
    <xf numFmtId="166" fontId="13" fillId="12" borderId="0" xfId="2" applyNumberFormat="1" applyFont="1" applyFill="1" applyBorder="1"/>
    <xf numFmtId="166" fontId="13" fillId="13" borderId="0" xfId="2" applyNumberFormat="1" applyFont="1" applyFill="1" applyBorder="1" applyAlignment="1">
      <alignment wrapText="1"/>
    </xf>
    <xf numFmtId="166" fontId="13" fillId="13" borderId="12" xfId="2" applyNumberFormat="1" applyFont="1" applyFill="1" applyBorder="1" applyAlignment="1">
      <alignment wrapText="1"/>
    </xf>
    <xf numFmtId="166" fontId="13" fillId="14" borderId="0" xfId="2" applyNumberFormat="1" applyFont="1" applyFill="1" applyBorder="1"/>
    <xf numFmtId="166" fontId="13" fillId="14" borderId="12" xfId="2" applyNumberFormat="1" applyFont="1" applyFill="1" applyBorder="1"/>
    <xf numFmtId="166" fontId="0" fillId="0" borderId="0" xfId="2" applyNumberFormat="1" applyFont="1"/>
    <xf numFmtId="10" fontId="14" fillId="11" borderId="0" xfId="1" applyNumberFormat="1" applyFont="1" applyFill="1" applyBorder="1"/>
    <xf numFmtId="10" fontId="13" fillId="14" borderId="8" xfId="1" applyNumberFormat="1" applyFont="1" applyFill="1" applyBorder="1"/>
    <xf numFmtId="10" fontId="13" fillId="13" borderId="0" xfId="1" applyNumberFormat="1" applyFont="1" applyFill="1" applyBorder="1"/>
    <xf numFmtId="10" fontId="13" fillId="12" borderId="0" xfId="1" applyNumberFormat="1" applyFont="1" applyFill="1" applyBorder="1"/>
    <xf numFmtId="10" fontId="13" fillId="13" borderId="0" xfId="1" applyNumberFormat="1" applyFont="1" applyFill="1" applyBorder="1" applyAlignment="1">
      <alignment wrapText="1"/>
    </xf>
    <xf numFmtId="10" fontId="13" fillId="13" borderId="12" xfId="1" applyNumberFormat="1" applyFont="1" applyFill="1" applyBorder="1" applyAlignment="1">
      <alignment wrapText="1"/>
    </xf>
    <xf numFmtId="10" fontId="13" fillId="14" borderId="0" xfId="1" applyNumberFormat="1" applyFont="1" applyFill="1" applyBorder="1"/>
    <xf numFmtId="10" fontId="13" fillId="14" borderId="12" xfId="1" applyNumberFormat="1" applyFont="1" applyFill="1" applyBorder="1"/>
    <xf numFmtId="10" fontId="0" fillId="0" borderId="0" xfId="1" applyNumberFormat="1" applyFont="1"/>
    <xf numFmtId="166" fontId="13" fillId="14" borderId="0" xfId="0" applyNumberFormat="1" applyFont="1" applyFill="1" applyAlignment="1">
      <alignment wrapText="1"/>
    </xf>
    <xf numFmtId="166" fontId="13" fillId="13" borderId="0" xfId="2" applyNumberFormat="1" applyFont="1" applyFill="1" applyAlignment="1">
      <alignment wrapText="1"/>
    </xf>
    <xf numFmtId="10" fontId="13" fillId="13" borderId="0" xfId="1" applyNumberFormat="1" applyFont="1" applyFill="1" applyAlignment="1">
      <alignment wrapText="1"/>
    </xf>
    <xf numFmtId="0" fontId="0" fillId="5" borderId="5" xfId="0" applyFill="1" applyBorder="1" applyAlignment="1">
      <alignment horizontal="center" vertical="center" wrapText="1"/>
    </xf>
    <xf numFmtId="0" fontId="0" fillId="8" borderId="8" xfId="0" applyFill="1" applyBorder="1" applyAlignment="1">
      <alignment horizontal="center"/>
    </xf>
    <xf numFmtId="0" fontId="0" fillId="8" borderId="0" xfId="0" applyFill="1" applyAlignment="1">
      <alignment horizontal="center"/>
    </xf>
    <xf numFmtId="0" fontId="15" fillId="0" borderId="0" xfId="0" applyFont="1"/>
    <xf numFmtId="0" fontId="13" fillId="13" borderId="13" xfId="0" applyFont="1" applyFill="1" applyBorder="1" applyAlignment="1">
      <alignment wrapText="1"/>
    </xf>
    <xf numFmtId="0" fontId="0" fillId="9" borderId="0" xfId="0" applyFill="1" applyAlignment="1">
      <alignment horizontal="center"/>
    </xf>
    <xf numFmtId="0" fontId="0" fillId="9" borderId="8" xfId="0" applyFill="1" applyBorder="1" applyAlignment="1">
      <alignment horizontal="center"/>
    </xf>
    <xf numFmtId="0" fontId="0" fillId="9" borderId="0" xfId="0" applyFill="1"/>
    <xf numFmtId="0" fontId="0" fillId="9" borderId="12" xfId="0" applyFill="1" applyBorder="1" applyAlignment="1">
      <alignment horizontal="center"/>
    </xf>
    <xf numFmtId="0" fontId="0" fillId="0" borderId="0" xfId="0" applyAlignment="1">
      <alignment horizontal="center"/>
    </xf>
    <xf numFmtId="0" fontId="0" fillId="0" borderId="12" xfId="0" applyBorder="1" applyAlignment="1">
      <alignment horizontal="center"/>
    </xf>
    <xf numFmtId="0" fontId="0" fillId="0" borderId="10" xfId="0" applyBorder="1" applyAlignment="1">
      <alignment horizontal="center"/>
    </xf>
    <xf numFmtId="0" fontId="0" fillId="8" borderId="9" xfId="0" applyFill="1" applyBorder="1" applyAlignment="1">
      <alignment horizontal="center"/>
    </xf>
    <xf numFmtId="0" fontId="0" fillId="8" borderId="10" xfId="0" applyFill="1" applyBorder="1" applyAlignment="1">
      <alignment horizontal="center"/>
    </xf>
    <xf numFmtId="0" fontId="0" fillId="0" borderId="13" xfId="0" applyBorder="1" applyAlignment="1">
      <alignment horizontal="center"/>
    </xf>
    <xf numFmtId="0" fontId="0" fillId="9" borderId="9" xfId="0" applyFill="1" applyBorder="1" applyAlignment="1">
      <alignment horizontal="center"/>
    </xf>
    <xf numFmtId="0" fontId="0" fillId="9" borderId="10" xfId="0" applyFill="1" applyBorder="1" applyAlignment="1">
      <alignment horizontal="center"/>
    </xf>
    <xf numFmtId="0" fontId="0" fillId="9" borderId="13" xfId="0" applyFill="1" applyBorder="1" applyAlignment="1">
      <alignment horizontal="center"/>
    </xf>
    <xf numFmtId="0" fontId="0" fillId="8" borderId="15" xfId="0" applyFill="1" applyBorder="1" applyAlignment="1">
      <alignment horizontal="center"/>
    </xf>
    <xf numFmtId="9" fontId="0" fillId="8" borderId="8" xfId="1" applyFont="1" applyFill="1" applyBorder="1" applyAlignment="1">
      <alignment horizontal="center"/>
    </xf>
    <xf numFmtId="9" fontId="0" fillId="8" borderId="0" xfId="1" applyFont="1" applyFill="1" applyAlignment="1">
      <alignment horizontal="center"/>
    </xf>
    <xf numFmtId="9" fontId="0" fillId="0" borderId="12" xfId="1" applyFont="1" applyBorder="1" applyAlignment="1">
      <alignment horizontal="center"/>
    </xf>
    <xf numFmtId="9" fontId="0" fillId="0" borderId="0" xfId="1" applyFont="1" applyAlignment="1">
      <alignment horizontal="center"/>
    </xf>
    <xf numFmtId="9" fontId="0" fillId="9" borderId="8" xfId="1" applyFont="1" applyFill="1" applyBorder="1" applyAlignment="1">
      <alignment horizontal="center"/>
    </xf>
    <xf numFmtId="9" fontId="0" fillId="9" borderId="0" xfId="1" applyFont="1" applyFill="1" applyBorder="1" applyAlignment="1">
      <alignment horizontal="center"/>
    </xf>
    <xf numFmtId="9" fontId="0" fillId="9" borderId="12" xfId="1" applyFont="1" applyFill="1" applyBorder="1" applyAlignment="1">
      <alignment horizontal="center"/>
    </xf>
    <xf numFmtId="0" fontId="0" fillId="15" borderId="8" xfId="0" applyFill="1" applyBorder="1" applyAlignment="1">
      <alignment horizontal="center"/>
    </xf>
    <xf numFmtId="0" fontId="0" fillId="15" borderId="0" xfId="0" applyFill="1" applyAlignment="1">
      <alignment horizontal="center"/>
    </xf>
    <xf numFmtId="0" fontId="0" fillId="15" borderId="12" xfId="0" applyFill="1" applyBorder="1" applyAlignment="1">
      <alignment horizontal="center"/>
    </xf>
    <xf numFmtId="0" fontId="2" fillId="5" borderId="4"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17" xfId="0" applyFont="1" applyFill="1" applyBorder="1" applyAlignment="1">
      <alignment horizontal="center" vertical="center" wrapText="1"/>
    </xf>
    <xf numFmtId="10" fontId="2" fillId="5" borderId="17" xfId="1" applyNumberFormat="1" applyFont="1" applyFill="1" applyBorder="1" applyAlignment="1">
      <alignment horizontal="center" vertical="center" wrapText="1"/>
    </xf>
    <xf numFmtId="0" fontId="4" fillId="4" borderId="20" xfId="0" applyFont="1" applyFill="1" applyBorder="1" applyAlignment="1">
      <alignment horizontal="left" vertical="center" wrapText="1"/>
    </xf>
    <xf numFmtId="0" fontId="2" fillId="5" borderId="20" xfId="0" applyFont="1" applyFill="1" applyBorder="1" applyAlignment="1">
      <alignment horizontal="center" vertical="center" wrapText="1"/>
    </xf>
    <xf numFmtId="3" fontId="2" fillId="5" borderId="20" xfId="0" applyNumberFormat="1" applyFont="1" applyFill="1" applyBorder="1" applyAlignment="1">
      <alignment horizontal="center" vertical="center" wrapText="1"/>
    </xf>
    <xf numFmtId="10" fontId="2" fillId="5" borderId="20" xfId="1" applyNumberFormat="1" applyFont="1" applyFill="1" applyBorder="1" applyAlignment="1">
      <alignment horizontal="center" vertical="center" wrapText="1"/>
    </xf>
    <xf numFmtId="3" fontId="9" fillId="5" borderId="20" xfId="0" applyNumberFormat="1" applyFont="1" applyFill="1" applyBorder="1" applyAlignment="1">
      <alignment horizontal="center" vertical="center" wrapText="1"/>
    </xf>
    <xf numFmtId="0" fontId="9" fillId="5" borderId="20" xfId="0" applyFont="1" applyFill="1" applyBorder="1" applyAlignment="1">
      <alignment horizontal="center" vertical="center" wrapText="1"/>
    </xf>
    <xf numFmtId="0" fontId="0" fillId="5" borderId="20" xfId="0" applyFill="1" applyBorder="1" applyAlignment="1">
      <alignment horizontal="center" vertical="center"/>
    </xf>
    <xf numFmtId="0" fontId="0" fillId="5" borderId="20" xfId="0" quotePrefix="1" applyFill="1" applyBorder="1" applyAlignment="1">
      <alignment horizontal="center" vertical="center"/>
    </xf>
    <xf numFmtId="165" fontId="0" fillId="5" borderId="20" xfId="1" applyNumberFormat="1" applyFont="1" applyFill="1" applyBorder="1" applyAlignment="1">
      <alignment horizontal="center" vertical="center"/>
    </xf>
    <xf numFmtId="0" fontId="4" fillId="4" borderId="20" xfId="0" applyFont="1" applyFill="1" applyBorder="1" applyAlignment="1">
      <alignment horizontal="center" vertical="center" wrapText="1"/>
    </xf>
    <xf numFmtId="9" fontId="0" fillId="5" borderId="20" xfId="1" applyFont="1" applyFill="1" applyBorder="1" applyAlignment="1">
      <alignment horizontal="center" vertical="center"/>
    </xf>
    <xf numFmtId="3" fontId="2" fillId="7" borderId="20" xfId="0" applyNumberFormat="1" applyFont="1" applyFill="1" applyBorder="1" applyAlignment="1">
      <alignment horizontal="center" vertical="center" wrapText="1"/>
    </xf>
    <xf numFmtId="0" fontId="0" fillId="7" borderId="20" xfId="0" applyFill="1" applyBorder="1" applyAlignment="1">
      <alignment horizontal="center" vertical="center"/>
    </xf>
    <xf numFmtId="0" fontId="2" fillId="0" borderId="1" xfId="0" applyFont="1" applyBorder="1" applyAlignment="1">
      <alignment horizontal="left" vertical="center" wrapText="1"/>
    </xf>
    <xf numFmtId="10" fontId="0" fillId="0" borderId="0" xfId="0" applyNumberFormat="1" applyAlignment="1">
      <alignment horizontal="center" vertical="center"/>
    </xf>
    <xf numFmtId="10" fontId="0" fillId="8" borderId="21" xfId="1" applyNumberFormat="1" applyFont="1" applyFill="1" applyBorder="1" applyAlignment="1">
      <alignment horizontal="center" vertical="center"/>
    </xf>
    <xf numFmtId="10" fontId="0" fillId="8" borderId="22" xfId="1" applyNumberFormat="1" applyFont="1" applyFill="1" applyBorder="1" applyAlignment="1">
      <alignment horizontal="center" vertical="center"/>
    </xf>
    <xf numFmtId="10" fontId="0" fillId="8" borderId="23" xfId="1" applyNumberFormat="1" applyFont="1" applyFill="1" applyBorder="1" applyAlignment="1">
      <alignment horizontal="center" vertical="center"/>
    </xf>
    <xf numFmtId="10" fontId="0" fillId="9" borderId="9" xfId="0" applyNumberFormat="1" applyFill="1" applyBorder="1" applyAlignment="1">
      <alignment horizontal="center"/>
    </xf>
    <xf numFmtId="10" fontId="0" fillId="9" borderId="10" xfId="0" applyNumberFormat="1" applyFill="1" applyBorder="1" applyAlignment="1">
      <alignment horizontal="center"/>
    </xf>
    <xf numFmtId="10" fontId="0" fillId="9" borderId="13" xfId="0" applyNumberFormat="1" applyFill="1" applyBorder="1" applyAlignment="1">
      <alignment horizontal="center"/>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10" fontId="2" fillId="5" borderId="18" xfId="1" applyNumberFormat="1" applyFont="1" applyFill="1" applyBorder="1" applyAlignment="1">
      <alignment horizontal="center" vertical="center" wrapText="1"/>
    </xf>
    <xf numFmtId="10" fontId="2" fillId="5" borderId="19" xfId="1" applyNumberFormat="1" applyFont="1" applyFill="1" applyBorder="1" applyAlignment="1">
      <alignment horizontal="center" vertical="center" wrapText="1"/>
    </xf>
    <xf numFmtId="0" fontId="6" fillId="0" borderId="0" xfId="0" applyFont="1" applyAlignment="1">
      <alignment horizontal="center" vertical="center" wrapText="1"/>
    </xf>
    <xf numFmtId="0" fontId="16" fillId="5" borderId="20" xfId="0" applyFont="1" applyFill="1" applyBorder="1" applyAlignment="1">
      <alignment horizontal="center" vertical="center"/>
    </xf>
    <xf numFmtId="0" fontId="0" fillId="5" borderId="24" xfId="0" applyFill="1" applyBorder="1" applyAlignment="1">
      <alignment horizontal="center" vertical="center" wrapText="1"/>
    </xf>
    <xf numFmtId="1" fontId="0" fillId="8" borderId="21" xfId="1" applyNumberFormat="1" applyFont="1" applyFill="1" applyBorder="1" applyAlignment="1">
      <alignment horizontal="center" vertical="center"/>
    </xf>
    <xf numFmtId="1" fontId="0" fillId="8" borderId="22" xfId="1" applyNumberFormat="1" applyFont="1" applyFill="1" applyBorder="1" applyAlignment="1">
      <alignment horizontal="center" vertical="center"/>
    </xf>
    <xf numFmtId="1" fontId="0" fillId="8" borderId="23" xfId="1" applyNumberFormat="1" applyFont="1" applyFill="1" applyBorder="1" applyAlignment="1">
      <alignment horizontal="center" vertical="center"/>
    </xf>
    <xf numFmtId="1" fontId="0" fillId="9" borderId="9" xfId="0" applyNumberFormat="1" applyFill="1" applyBorder="1" applyAlignment="1">
      <alignment horizontal="center"/>
    </xf>
    <xf numFmtId="1" fontId="0" fillId="9" borderId="10" xfId="0" applyNumberFormat="1" applyFill="1" applyBorder="1" applyAlignment="1">
      <alignment horizontal="center"/>
    </xf>
    <xf numFmtId="1" fontId="0" fillId="9" borderId="13" xfId="0" applyNumberFormat="1" applyFill="1" applyBorder="1" applyAlignment="1">
      <alignment horizontal="center"/>
    </xf>
    <xf numFmtId="0" fontId="0" fillId="16" borderId="0" xfId="0" applyFill="1"/>
    <xf numFmtId="9" fontId="0" fillId="15" borderId="8" xfId="1" applyFont="1" applyFill="1" applyBorder="1" applyAlignment="1">
      <alignment horizontal="center"/>
    </xf>
    <xf numFmtId="9" fontId="0" fillId="15" borderId="0" xfId="1" applyFont="1" applyFill="1" applyAlignment="1">
      <alignment horizontal="center"/>
    </xf>
    <xf numFmtId="9" fontId="0" fillId="15" borderId="12" xfId="1" applyFont="1" applyFill="1" applyBorder="1" applyAlignment="1">
      <alignment horizontal="center"/>
    </xf>
    <xf numFmtId="9" fontId="0" fillId="9" borderId="0" xfId="1" applyFont="1" applyFill="1" applyAlignment="1">
      <alignment horizontal="center"/>
    </xf>
    <xf numFmtId="3" fontId="2" fillId="0" borderId="1" xfId="0" applyNumberFormat="1" applyFont="1" applyBorder="1" applyAlignment="1">
      <alignment horizontal="left" vertical="top" wrapText="1"/>
    </xf>
    <xf numFmtId="3" fontId="2" fillId="16" borderId="20" xfId="0" applyNumberFormat="1" applyFont="1" applyFill="1" applyBorder="1" applyAlignment="1">
      <alignment horizontal="center" vertical="center" wrapText="1"/>
    </xf>
    <xf numFmtId="0" fontId="0" fillId="0" borderId="0" xfId="0" applyAlignment="1">
      <alignment horizontal="center" vertical="center" wrapText="1"/>
    </xf>
    <xf numFmtId="0" fontId="0" fillId="5" borderId="32" xfId="0" applyFill="1" applyBorder="1" applyAlignment="1">
      <alignment vertical="center"/>
    </xf>
    <xf numFmtId="0" fontId="0" fillId="5" borderId="27" xfId="0" applyFill="1" applyBorder="1" applyAlignment="1">
      <alignment vertical="center"/>
    </xf>
    <xf numFmtId="0" fontId="8" fillId="5" borderId="33" xfId="0" applyFont="1" applyFill="1" applyBorder="1" applyAlignment="1">
      <alignment horizontal="left" vertical="center" wrapText="1"/>
    </xf>
    <xf numFmtId="0" fontId="17" fillId="5" borderId="27" xfId="0" applyFont="1" applyFill="1" applyBorder="1" applyAlignment="1">
      <alignment vertical="center"/>
    </xf>
    <xf numFmtId="0" fontId="0" fillId="5" borderId="28" xfId="0" applyFill="1" applyBorder="1" applyAlignment="1">
      <alignment horizontal="left" vertical="center"/>
    </xf>
    <xf numFmtId="0" fontId="0" fillId="5" borderId="29" xfId="0" applyFill="1" applyBorder="1" applyAlignment="1">
      <alignment horizontal="left" vertical="center"/>
    </xf>
    <xf numFmtId="0" fontId="0" fillId="5" borderId="34" xfId="0" applyFill="1" applyBorder="1" applyAlignment="1">
      <alignment horizontal="left" vertical="center"/>
    </xf>
    <xf numFmtId="0" fontId="0" fillId="5" borderId="35" xfId="0" applyFill="1" applyBorder="1" applyAlignment="1">
      <alignment horizontal="left" vertical="center"/>
    </xf>
    <xf numFmtId="0" fontId="0" fillId="5" borderId="30" xfId="0" applyFill="1" applyBorder="1" applyAlignment="1">
      <alignment horizontal="left" vertical="center"/>
    </xf>
    <xf numFmtId="0" fontId="0" fillId="5" borderId="31" xfId="0" applyFill="1" applyBorder="1" applyAlignment="1">
      <alignment horizontal="left" vertical="center"/>
    </xf>
    <xf numFmtId="0" fontId="17" fillId="5" borderId="34" xfId="0" applyFont="1" applyFill="1" applyBorder="1" applyAlignment="1">
      <alignment horizontal="left" vertical="center"/>
    </xf>
    <xf numFmtId="0" fontId="17" fillId="5" borderId="35" xfId="0" applyFont="1" applyFill="1" applyBorder="1" applyAlignment="1">
      <alignment horizontal="left" vertical="center"/>
    </xf>
    <xf numFmtId="0" fontId="0" fillId="5" borderId="5" xfId="0" applyFill="1" applyBorder="1" applyAlignment="1">
      <alignment horizontal="center" vertical="center" wrapText="1"/>
    </xf>
    <xf numFmtId="10" fontId="0" fillId="5" borderId="5" xfId="0" applyNumberFormat="1" applyFill="1" applyBorder="1" applyAlignment="1">
      <alignment horizontal="center" vertical="center" wrapText="1"/>
    </xf>
    <xf numFmtId="10" fontId="0" fillId="5" borderId="25" xfId="0" applyNumberFormat="1" applyFill="1" applyBorder="1" applyAlignment="1">
      <alignment horizontal="center" vertical="center" wrapText="1"/>
    </xf>
    <xf numFmtId="0" fontId="0" fillId="5" borderId="26" xfId="0" applyFill="1" applyBorder="1" applyAlignment="1">
      <alignment horizontal="center" wrapText="1"/>
    </xf>
    <xf numFmtId="0" fontId="0" fillId="5" borderId="5" xfId="0" applyFill="1" applyBorder="1" applyAlignment="1">
      <alignment horizontal="center" vertical="center"/>
    </xf>
    <xf numFmtId="0" fontId="0" fillId="0" borderId="14" xfId="0" applyBorder="1" applyAlignment="1">
      <alignment horizontal="center" vertical="center" wrapText="1"/>
    </xf>
    <xf numFmtId="0" fontId="0" fillId="5" borderId="20" xfId="0" applyFill="1" applyBorder="1" applyAlignment="1">
      <alignment horizontal="center" vertical="center"/>
    </xf>
    <xf numFmtId="0" fontId="0" fillId="10" borderId="0" xfId="0" applyFill="1" applyAlignment="1">
      <alignment horizontal="left" vertical="center"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5" borderId="20" xfId="0" applyFont="1" applyFill="1" applyBorder="1" applyAlignment="1">
      <alignment horizontal="center" vertical="center" wrapText="1"/>
    </xf>
    <xf numFmtId="165" fontId="0" fillId="5" borderId="20" xfId="1" applyNumberFormat="1" applyFont="1" applyFill="1" applyBorder="1" applyAlignment="1">
      <alignment horizontal="center" vertical="center"/>
    </xf>
    <xf numFmtId="0" fontId="9" fillId="3" borderId="2"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3" xfId="0" applyFont="1" applyFill="1" applyBorder="1" applyAlignment="1">
      <alignment horizontal="center" vertical="center" wrapText="1"/>
    </xf>
    <xf numFmtId="3" fontId="2" fillId="5" borderId="20" xfId="0" applyNumberFormat="1" applyFont="1" applyFill="1" applyBorder="1" applyAlignment="1">
      <alignment horizontal="center" vertical="center" wrapText="1"/>
    </xf>
    <xf numFmtId="0" fontId="3" fillId="10" borderId="2" xfId="0" applyFont="1" applyFill="1" applyBorder="1" applyAlignment="1">
      <alignment horizontal="left" vertical="top" wrapText="1"/>
    </xf>
    <xf numFmtId="0" fontId="3" fillId="10" borderId="3" xfId="0" applyFont="1" applyFill="1" applyBorder="1" applyAlignment="1">
      <alignment horizontal="left" vertical="top" wrapText="1"/>
    </xf>
    <xf numFmtId="10" fontId="2" fillId="5" borderId="20" xfId="1"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10" fontId="2" fillId="16" borderId="20" xfId="1" applyNumberFormat="1" applyFont="1" applyFill="1" applyBorder="1" applyAlignment="1">
      <alignment horizontal="center" vertical="center" wrapText="1"/>
    </xf>
  </cellXfs>
  <cellStyles count="3">
    <cellStyle name="Comma" xfId="2" builtinId="3"/>
    <cellStyle name="Normal" xfId="0" builtinId="0"/>
    <cellStyle name="Per cent" xfId="1" builtinId="5"/>
  </cellStyles>
  <dxfs count="19">
    <dxf>
      <font>
        <b val="0"/>
        <i val="0"/>
        <strike val="0"/>
        <condense val="0"/>
        <extend val="0"/>
        <outline val="0"/>
        <shadow val="0"/>
        <u val="none"/>
        <vertAlign val="baseline"/>
        <sz val="11"/>
        <color rgb="FF000000"/>
        <name val="Aptos Narrow"/>
        <family val="2"/>
        <scheme val="none"/>
      </font>
      <fill>
        <patternFill patternType="solid">
          <fgColor rgb="FF000000"/>
          <bgColor rgb="FFFFC000"/>
        </patternFill>
      </fill>
      <alignment horizontal="general" vertical="bottom"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1"/>
        <color rgb="FF000000"/>
        <name val="Aptos Narrow"/>
        <family val="2"/>
        <scheme val="none"/>
      </font>
      <fill>
        <patternFill patternType="solid">
          <fgColor rgb="FF000000"/>
          <bgColor rgb="FFFFC000"/>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numFmt numFmtId="14" formatCode="0.00%"/>
      <fill>
        <patternFill patternType="solid">
          <fgColor rgb="FF000000"/>
          <bgColor rgb="FFFFC000"/>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numFmt numFmtId="166" formatCode="_-* #,##0_-;\-* #,##0_-;_-* &quot;-&quot;??_-;_-@_-"/>
      <fill>
        <patternFill patternType="solid">
          <fgColor rgb="FF000000"/>
          <bgColor rgb="FFFFC000"/>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numFmt numFmtId="166" formatCode="_-* #,##0_-;\-* #,##0_-;_-* &quot;-&quot;??_-;_-@_-"/>
      <fill>
        <patternFill patternType="solid">
          <fgColor rgb="FF000000"/>
          <bgColor rgb="FFFFC000"/>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solid">
          <fgColor rgb="FF000000"/>
          <bgColor rgb="FFFFC000"/>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solid">
          <fgColor rgb="FF000000"/>
          <bgColor rgb="FFFFC000"/>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solid">
          <fgColor rgb="FF000000"/>
          <bgColor rgb="FFFFC000"/>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solid">
          <fgColor rgb="FF000000"/>
          <bgColor rgb="FFFFC000"/>
        </patternFill>
      </fill>
      <alignment horizontal="general" vertical="bottom" textRotation="0" wrapText="0" indent="0" justifyLastLine="0" shrinkToFit="0" readingOrder="0"/>
      <border diagonalUp="0" diagonalDown="0">
        <left style="thin">
          <color indexed="64"/>
        </left>
        <right/>
        <top/>
        <bottom/>
        <vertical/>
        <horizontal/>
      </border>
    </dxf>
    <dxf>
      <border outline="0">
        <bottom style="thin">
          <color rgb="FF44B3E1"/>
        </bottom>
      </border>
    </dxf>
    <dxf>
      <border outline="0">
        <left style="thin">
          <color rgb="FF44B3E1"/>
        </left>
        <right style="thin">
          <color rgb="FF44B3E1"/>
        </right>
        <top style="thin">
          <color rgb="FF44B3E1"/>
        </top>
      </border>
    </dxf>
    <dxf>
      <font>
        <b/>
        <i val="0"/>
        <strike val="0"/>
        <condense val="0"/>
        <extend val="0"/>
        <outline val="0"/>
        <shadow val="0"/>
        <u val="none"/>
        <vertAlign val="baseline"/>
        <sz val="11"/>
        <color rgb="FFFFFFFF"/>
        <name val="Aptos Narrow"/>
        <family val="2"/>
        <scheme val="none"/>
      </font>
      <fill>
        <patternFill patternType="solid">
          <fgColor rgb="FF156082"/>
          <bgColor rgb="FF156082"/>
        </patternFill>
      </fill>
      <alignment horizontal="general" vertical="bottom"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theme="9" tint="-0.49998474074526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A3D055-D0E2-465E-96F8-B07A4FF0D0D6}" name="Table1" displayName="Table1" ref="A1:I490" totalsRowShown="0" headerRowDxfId="18" dataDxfId="17">
  <autoFilter ref="A1:I490" xr:uid="{03A3D055-D0E2-465E-96F8-B07A4FF0D0D6}"/>
  <tableColumns count="9">
    <tableColumn id="1" xr3:uid="{5ACA9E88-96E8-4129-B112-81D4F553CA99}" name="product" dataDxfId="16"/>
    <tableColumn id="2" xr3:uid="{9C558A80-6DCE-4E30-97C1-C79398359991}" name="parent_episode" dataDxfId="15"/>
    <tableColumn id="9" xr3:uid="{C2B39988-9834-42FB-9824-1550E74C4671}" name="EpisodeId"/>
    <tableColumn id="3" xr3:uid="{2EF4E6A5-EDA2-4690-886B-05D8C98D17B4}" name="episode_code" dataDxfId="14"/>
    <tableColumn id="10" xr3:uid="{1235F34E-0122-4E82-803C-4D4B2DF3AA4C}" name="StepId"/>
    <tableColumn id="4" xr3:uid="{F4079001-7DC4-40EA-BA5D-81986E260165}" name="step_name" dataDxfId="13"/>
    <tableColumn id="7" xr3:uid="{1AFF4A1A-24A5-4B6D-BE6A-FC5821D5F6C9}" name="Definition Agreed"/>
    <tableColumn id="6" xr3:uid="{174AA005-4BB5-42C0-8ED7-760C2837372C}" name="Volumes From Chill"/>
    <tableColumn id="5" xr3:uid="{33B49766-744D-4E1A-A10F-BA3F43C8399B}" name="Priority" dataDxfId="12"/>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2FFD6C-95EA-47C4-8261-9FFC1026DF6F}" name="Table2" displayName="Table2" ref="A1:I24" totalsRowShown="0" headerRowDxfId="11" headerRowBorderDxfId="9" tableBorderDxfId="10">
  <autoFilter ref="A1:I24" xr:uid="{C12FFD6C-95EA-47C4-8261-9FFC1026DF6F}"/>
  <sortState xmlns:xlrd2="http://schemas.microsoft.com/office/spreadsheetml/2017/richdata2" ref="A2:I24">
    <sortCondition ref="A1:A24"/>
    <sortCondition ref="B1:B24"/>
    <sortCondition ref="G1:G24"/>
  </sortState>
  <tableColumns count="9">
    <tableColumn id="1" xr3:uid="{DEDE3E27-06BF-4161-B81D-C80636DC7196}" name="Product" dataDxfId="8"/>
    <tableColumn id="2" xr3:uid="{2C757493-D413-4D47-B137-EEE01F7F1B6B}" name="Journey" dataDxfId="7"/>
    <tableColumn id="3" xr3:uid="{B2773579-E1D6-4C57-BD8A-37DD36A43E7F}" name="step_id" dataDxfId="6"/>
    <tableColumn id="4" xr3:uid="{B47DB544-1C64-4CAB-BF76-863DC0320AB0}" name="Step" dataDxfId="5"/>
    <tableColumn id="6" xr3:uid="{6A907616-F78E-4F2B-B87A-D9DA7463189C}" name="Reporting - Volumes" dataDxfId="4" dataCellStyle="Comma"/>
    <tableColumn id="7" xr3:uid="{1EEFE961-A283-4BF7-A2E5-6F4EA18B6D36}" name="Fabric Volumes" dataDxfId="3" dataCellStyle="Comma"/>
    <tableColumn id="8" xr3:uid="{D3088B09-14C9-4412-A7EA-A91B35D3F624}" name="%Variance" dataDxfId="2" dataCellStyle="Per cent"/>
    <tableColumn id="9" xr3:uid="{4FC77BE8-269E-489D-AF34-248F12FB51D4}" name="Notes" dataDxfId="1"/>
    <tableColumn id="10" xr3:uid="{7A5AE056-A50B-427C-B02E-AFD0CF16AA46}" name="Discrepancy  Classific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7E2F1-05F8-43E1-AC07-0A73E41C5677}">
  <dimension ref="A1:I490"/>
  <sheetViews>
    <sheetView workbookViewId="0">
      <selection activeCell="G19" sqref="G19"/>
    </sheetView>
  </sheetViews>
  <sheetFormatPr defaultRowHeight="15"/>
  <cols>
    <col min="1" max="1" width="17.42578125" customWidth="1"/>
    <col min="2" max="2" width="21.85546875" bestFit="1" customWidth="1"/>
    <col min="3" max="3" width="21.85546875" customWidth="1"/>
    <col min="4" max="4" width="37.85546875" customWidth="1"/>
    <col min="5" max="5" width="17.85546875" customWidth="1"/>
    <col min="6" max="6" width="81.85546875" customWidth="1"/>
    <col min="7" max="7" width="17" bestFit="1" customWidth="1"/>
    <col min="8" max="8" width="34.85546875" customWidth="1"/>
    <col min="9" max="9" width="24.42578125" hidden="1" customWidth="1"/>
  </cols>
  <sheetData>
    <row r="1" spans="1:9">
      <c r="A1" s="1" t="s">
        <v>0</v>
      </c>
      <c r="B1" s="1" t="s">
        <v>1</v>
      </c>
      <c r="C1" s="1" t="s">
        <v>2</v>
      </c>
      <c r="D1" s="1" t="s">
        <v>3</v>
      </c>
      <c r="E1" s="1" t="s">
        <v>4</v>
      </c>
      <c r="F1" s="1" t="s">
        <v>5</v>
      </c>
      <c r="G1" s="1" t="s">
        <v>6</v>
      </c>
      <c r="H1" s="1" t="s">
        <v>7</v>
      </c>
      <c r="I1" s="1" t="s">
        <v>8</v>
      </c>
    </row>
    <row r="2" spans="1:9">
      <c r="A2" t="s">
        <v>9</v>
      </c>
      <c r="B2" t="s">
        <v>10</v>
      </c>
      <c r="C2">
        <v>1</v>
      </c>
      <c r="D2" t="s">
        <v>11</v>
      </c>
      <c r="E2">
        <v>1</v>
      </c>
      <c r="F2" t="s">
        <v>12</v>
      </c>
      <c r="I2">
        <v>1</v>
      </c>
    </row>
    <row r="3" spans="1:9">
      <c r="A3" t="s">
        <v>9</v>
      </c>
      <c r="B3" t="s">
        <v>10</v>
      </c>
      <c r="C3">
        <v>1</v>
      </c>
      <c r="D3" t="s">
        <v>11</v>
      </c>
      <c r="E3">
        <v>2</v>
      </c>
      <c r="F3" t="s">
        <v>13</v>
      </c>
    </row>
    <row r="4" spans="1:9">
      <c r="A4" t="s">
        <v>9</v>
      </c>
      <c r="B4" t="s">
        <v>10</v>
      </c>
      <c r="C4">
        <v>1</v>
      </c>
      <c r="D4" t="s">
        <v>11</v>
      </c>
      <c r="E4">
        <v>3</v>
      </c>
      <c r="F4" t="s">
        <v>14</v>
      </c>
      <c r="G4" t="s">
        <v>15</v>
      </c>
      <c r="I4">
        <v>1</v>
      </c>
    </row>
    <row r="5" spans="1:9">
      <c r="A5" t="s">
        <v>9</v>
      </c>
      <c r="B5" t="s">
        <v>10</v>
      </c>
      <c r="C5">
        <v>1</v>
      </c>
      <c r="D5" t="s">
        <v>11</v>
      </c>
      <c r="E5">
        <v>4</v>
      </c>
      <c r="F5" t="s">
        <v>16</v>
      </c>
    </row>
    <row r="6" spans="1:9">
      <c r="A6" t="s">
        <v>9</v>
      </c>
      <c r="B6" t="s">
        <v>10</v>
      </c>
      <c r="C6">
        <v>1</v>
      </c>
      <c r="D6" t="s">
        <v>11</v>
      </c>
      <c r="E6">
        <v>5</v>
      </c>
      <c r="F6" t="s">
        <v>17</v>
      </c>
    </row>
    <row r="7" spans="1:9">
      <c r="A7" t="s">
        <v>9</v>
      </c>
      <c r="B7" t="s">
        <v>10</v>
      </c>
      <c r="C7">
        <v>1</v>
      </c>
      <c r="D7" t="s">
        <v>11</v>
      </c>
      <c r="E7">
        <v>6</v>
      </c>
      <c r="F7" t="s">
        <v>18</v>
      </c>
      <c r="I7">
        <v>1</v>
      </c>
    </row>
    <row r="8" spans="1:9">
      <c r="A8" t="s">
        <v>9</v>
      </c>
      <c r="B8" t="s">
        <v>10</v>
      </c>
      <c r="C8">
        <v>1</v>
      </c>
      <c r="D8" t="s">
        <v>11</v>
      </c>
      <c r="E8">
        <v>7</v>
      </c>
      <c r="F8" t="s">
        <v>19</v>
      </c>
    </row>
    <row r="9" spans="1:9">
      <c r="A9" t="s">
        <v>9</v>
      </c>
      <c r="B9" t="s">
        <v>10</v>
      </c>
      <c r="C9">
        <v>1</v>
      </c>
      <c r="D9" t="s">
        <v>11</v>
      </c>
      <c r="E9">
        <v>8</v>
      </c>
      <c r="F9" t="s">
        <v>20</v>
      </c>
      <c r="G9" t="s">
        <v>15</v>
      </c>
      <c r="I9">
        <v>1</v>
      </c>
    </row>
    <row r="10" spans="1:9">
      <c r="A10" t="s">
        <v>9</v>
      </c>
      <c r="B10" t="s">
        <v>10</v>
      </c>
      <c r="C10">
        <v>1</v>
      </c>
      <c r="D10" t="s">
        <v>11</v>
      </c>
      <c r="E10">
        <v>9</v>
      </c>
      <c r="F10" t="s">
        <v>21</v>
      </c>
    </row>
    <row r="11" spans="1:9">
      <c r="A11" t="s">
        <v>9</v>
      </c>
      <c r="B11" t="s">
        <v>10</v>
      </c>
      <c r="C11">
        <v>1</v>
      </c>
      <c r="D11" t="s">
        <v>11</v>
      </c>
      <c r="E11">
        <v>10</v>
      </c>
      <c r="F11" t="s">
        <v>22</v>
      </c>
    </row>
    <row r="12" spans="1:9">
      <c r="A12" t="s">
        <v>9</v>
      </c>
      <c r="B12" t="s">
        <v>10</v>
      </c>
      <c r="C12">
        <v>1</v>
      </c>
      <c r="D12" t="s">
        <v>11</v>
      </c>
      <c r="E12">
        <v>11</v>
      </c>
      <c r="F12" t="s">
        <v>23</v>
      </c>
      <c r="I12">
        <v>1</v>
      </c>
    </row>
    <row r="13" spans="1:9">
      <c r="A13" t="s">
        <v>9</v>
      </c>
      <c r="B13" t="s">
        <v>10</v>
      </c>
      <c r="C13">
        <v>1</v>
      </c>
      <c r="D13" t="s">
        <v>11</v>
      </c>
      <c r="E13">
        <v>12</v>
      </c>
      <c r="F13" t="s">
        <v>24</v>
      </c>
    </row>
    <row r="14" spans="1:9">
      <c r="A14" t="s">
        <v>9</v>
      </c>
      <c r="B14" t="s">
        <v>10</v>
      </c>
      <c r="C14">
        <v>2</v>
      </c>
      <c r="D14" t="s">
        <v>25</v>
      </c>
      <c r="E14">
        <v>1</v>
      </c>
      <c r="F14" t="s">
        <v>26</v>
      </c>
    </row>
    <row r="15" spans="1:9">
      <c r="A15" t="s">
        <v>9</v>
      </c>
      <c r="B15" t="s">
        <v>10</v>
      </c>
      <c r="C15">
        <v>2</v>
      </c>
      <c r="D15" t="s">
        <v>25</v>
      </c>
      <c r="E15">
        <v>2</v>
      </c>
      <c r="F15" t="s">
        <v>27</v>
      </c>
      <c r="I15">
        <v>1</v>
      </c>
    </row>
    <row r="16" spans="1:9">
      <c r="A16" t="s">
        <v>9</v>
      </c>
      <c r="B16" t="s">
        <v>10</v>
      </c>
      <c r="C16">
        <v>2</v>
      </c>
      <c r="D16" t="s">
        <v>25</v>
      </c>
      <c r="E16">
        <v>3</v>
      </c>
      <c r="F16" t="s">
        <v>23</v>
      </c>
      <c r="I16">
        <v>1</v>
      </c>
    </row>
    <row r="17" spans="1:9">
      <c r="A17" t="s">
        <v>9</v>
      </c>
      <c r="B17" t="s">
        <v>10</v>
      </c>
      <c r="C17">
        <v>2</v>
      </c>
      <c r="D17" t="s">
        <v>25</v>
      </c>
      <c r="E17">
        <v>4</v>
      </c>
      <c r="F17" t="s">
        <v>28</v>
      </c>
    </row>
    <row r="18" spans="1:9">
      <c r="A18" t="s">
        <v>9</v>
      </c>
      <c r="B18" t="s">
        <v>10</v>
      </c>
      <c r="C18">
        <v>3</v>
      </c>
      <c r="D18" t="s">
        <v>29</v>
      </c>
      <c r="E18">
        <v>1</v>
      </c>
      <c r="F18" t="s">
        <v>30</v>
      </c>
      <c r="I18">
        <v>1</v>
      </c>
    </row>
    <row r="19" spans="1:9">
      <c r="A19" t="s">
        <v>9</v>
      </c>
      <c r="B19" t="s">
        <v>10</v>
      </c>
      <c r="C19">
        <v>3</v>
      </c>
      <c r="D19" t="s">
        <v>29</v>
      </c>
      <c r="E19">
        <v>2</v>
      </c>
      <c r="F19" t="s">
        <v>31</v>
      </c>
    </row>
    <row r="20" spans="1:9">
      <c r="A20" t="s">
        <v>9</v>
      </c>
      <c r="B20" t="s">
        <v>10</v>
      </c>
      <c r="C20">
        <v>3</v>
      </c>
      <c r="D20" t="s">
        <v>29</v>
      </c>
      <c r="E20">
        <v>3</v>
      </c>
      <c r="F20" t="s">
        <v>32</v>
      </c>
    </row>
    <row r="21" spans="1:9">
      <c r="A21" t="s">
        <v>9</v>
      </c>
      <c r="B21" t="s">
        <v>10</v>
      </c>
      <c r="C21">
        <v>4</v>
      </c>
      <c r="D21" t="s">
        <v>33</v>
      </c>
      <c r="E21">
        <v>1</v>
      </c>
      <c r="F21" t="s">
        <v>34</v>
      </c>
      <c r="I21">
        <v>1</v>
      </c>
    </row>
    <row r="22" spans="1:9">
      <c r="A22" t="s">
        <v>9</v>
      </c>
      <c r="B22" t="s">
        <v>10</v>
      </c>
      <c r="C22">
        <v>4</v>
      </c>
      <c r="D22" t="s">
        <v>33</v>
      </c>
      <c r="E22">
        <v>2</v>
      </c>
      <c r="F22" t="s">
        <v>35</v>
      </c>
    </row>
    <row r="23" spans="1:9">
      <c r="A23" t="s">
        <v>9</v>
      </c>
      <c r="B23" t="s">
        <v>10</v>
      </c>
      <c r="C23">
        <v>4</v>
      </c>
      <c r="D23" t="s">
        <v>33</v>
      </c>
      <c r="E23">
        <v>3</v>
      </c>
      <c r="F23" t="s">
        <v>36</v>
      </c>
    </row>
    <row r="24" spans="1:9">
      <c r="A24" t="s">
        <v>9</v>
      </c>
      <c r="B24" t="s">
        <v>10</v>
      </c>
      <c r="C24">
        <v>4</v>
      </c>
      <c r="D24" t="s">
        <v>33</v>
      </c>
      <c r="E24">
        <v>4</v>
      </c>
      <c r="F24" t="s">
        <v>37</v>
      </c>
    </row>
    <row r="25" spans="1:9">
      <c r="A25" t="s">
        <v>9</v>
      </c>
      <c r="B25" t="s">
        <v>10</v>
      </c>
      <c r="C25">
        <v>4</v>
      </c>
      <c r="D25" t="s">
        <v>33</v>
      </c>
      <c r="E25">
        <v>5</v>
      </c>
      <c r="F25" t="s">
        <v>38</v>
      </c>
    </row>
    <row r="26" spans="1:9">
      <c r="A26" t="s">
        <v>9</v>
      </c>
      <c r="B26" t="s">
        <v>10</v>
      </c>
      <c r="C26">
        <v>4</v>
      </c>
      <c r="D26" t="s">
        <v>33</v>
      </c>
      <c r="E26">
        <v>6</v>
      </c>
      <c r="F26" t="s">
        <v>39</v>
      </c>
      <c r="I26">
        <v>1</v>
      </c>
    </row>
    <row r="27" spans="1:9">
      <c r="A27" t="s">
        <v>9</v>
      </c>
      <c r="B27" t="s">
        <v>10</v>
      </c>
      <c r="C27">
        <v>4</v>
      </c>
      <c r="D27" t="s">
        <v>33</v>
      </c>
      <c r="E27">
        <v>7</v>
      </c>
      <c r="F27" t="s">
        <v>40</v>
      </c>
      <c r="I27">
        <v>1</v>
      </c>
    </row>
    <row r="28" spans="1:9">
      <c r="A28" t="s">
        <v>9</v>
      </c>
      <c r="B28" t="s">
        <v>10</v>
      </c>
      <c r="C28">
        <v>5</v>
      </c>
      <c r="D28" t="s">
        <v>41</v>
      </c>
      <c r="E28">
        <v>1</v>
      </c>
      <c r="F28" t="s">
        <v>42</v>
      </c>
      <c r="I28">
        <v>1</v>
      </c>
    </row>
    <row r="29" spans="1:9">
      <c r="A29" t="s">
        <v>9</v>
      </c>
      <c r="B29" t="s">
        <v>10</v>
      </c>
      <c r="C29">
        <v>5</v>
      </c>
      <c r="D29" t="s">
        <v>41</v>
      </c>
      <c r="E29">
        <v>2</v>
      </c>
      <c r="F29" t="s">
        <v>43</v>
      </c>
    </row>
    <row r="30" spans="1:9">
      <c r="A30" t="s">
        <v>9</v>
      </c>
      <c r="B30" t="s">
        <v>10</v>
      </c>
      <c r="C30">
        <v>5</v>
      </c>
      <c r="D30" t="s">
        <v>41</v>
      </c>
      <c r="E30">
        <v>3</v>
      </c>
      <c r="F30" t="s">
        <v>44</v>
      </c>
    </row>
    <row r="31" spans="1:9">
      <c r="A31" t="s">
        <v>9</v>
      </c>
      <c r="B31" t="s">
        <v>10</v>
      </c>
      <c r="C31">
        <v>5</v>
      </c>
      <c r="D31" t="s">
        <v>41</v>
      </c>
      <c r="E31">
        <v>4</v>
      </c>
      <c r="F31" t="s">
        <v>45</v>
      </c>
    </row>
    <row r="32" spans="1:9">
      <c r="A32" t="s">
        <v>9</v>
      </c>
      <c r="B32" t="s">
        <v>10</v>
      </c>
      <c r="C32">
        <v>5</v>
      </c>
      <c r="D32" t="s">
        <v>41</v>
      </c>
      <c r="E32">
        <v>5</v>
      </c>
      <c r="F32" t="s">
        <v>46</v>
      </c>
    </row>
    <row r="33" spans="1:9">
      <c r="A33" t="s">
        <v>9</v>
      </c>
      <c r="B33" t="s">
        <v>10</v>
      </c>
      <c r="C33">
        <v>5</v>
      </c>
      <c r="D33" t="s">
        <v>41</v>
      </c>
      <c r="E33">
        <v>6</v>
      </c>
      <c r="F33" t="s">
        <v>47</v>
      </c>
    </row>
    <row r="34" spans="1:9">
      <c r="A34" t="s">
        <v>9</v>
      </c>
      <c r="B34" t="s">
        <v>10</v>
      </c>
      <c r="C34">
        <v>5</v>
      </c>
      <c r="D34" t="s">
        <v>41</v>
      </c>
      <c r="E34">
        <v>7</v>
      </c>
      <c r="F34" t="s">
        <v>48</v>
      </c>
      <c r="I34">
        <v>1</v>
      </c>
    </row>
    <row r="35" spans="1:9">
      <c r="A35" t="s">
        <v>9</v>
      </c>
      <c r="B35" t="s">
        <v>10</v>
      </c>
      <c r="C35">
        <v>6</v>
      </c>
      <c r="D35" t="s">
        <v>49</v>
      </c>
      <c r="E35">
        <v>1</v>
      </c>
      <c r="F35" t="s">
        <v>50</v>
      </c>
      <c r="I35">
        <v>1</v>
      </c>
    </row>
    <row r="36" spans="1:9">
      <c r="A36" t="s">
        <v>9</v>
      </c>
      <c r="B36" t="s">
        <v>10</v>
      </c>
      <c r="C36">
        <v>6</v>
      </c>
      <c r="D36" t="s">
        <v>49</v>
      </c>
      <c r="E36">
        <v>2</v>
      </c>
      <c r="F36" t="s">
        <v>51</v>
      </c>
    </row>
    <row r="37" spans="1:9">
      <c r="A37" t="s">
        <v>9</v>
      </c>
      <c r="B37" t="s">
        <v>10</v>
      </c>
      <c r="C37">
        <v>6</v>
      </c>
      <c r="D37" t="s">
        <v>49</v>
      </c>
      <c r="E37">
        <v>3</v>
      </c>
      <c r="F37" t="s">
        <v>52</v>
      </c>
    </row>
    <row r="38" spans="1:9">
      <c r="A38" t="s">
        <v>9</v>
      </c>
      <c r="B38" t="s">
        <v>10</v>
      </c>
      <c r="C38">
        <v>6</v>
      </c>
      <c r="D38" t="s">
        <v>49</v>
      </c>
      <c r="E38">
        <v>4</v>
      </c>
      <c r="F38" t="s">
        <v>53</v>
      </c>
    </row>
    <row r="39" spans="1:9">
      <c r="A39" t="s">
        <v>9</v>
      </c>
      <c r="B39" t="s">
        <v>10</v>
      </c>
      <c r="C39">
        <v>6</v>
      </c>
      <c r="D39" t="s">
        <v>49</v>
      </c>
      <c r="E39">
        <v>5</v>
      </c>
      <c r="F39" t="s">
        <v>46</v>
      </c>
    </row>
    <row r="40" spans="1:9">
      <c r="A40" t="s">
        <v>9</v>
      </c>
      <c r="B40" t="s">
        <v>10</v>
      </c>
      <c r="C40">
        <v>6</v>
      </c>
      <c r="D40" t="s">
        <v>49</v>
      </c>
      <c r="E40">
        <v>6</v>
      </c>
      <c r="F40" t="s">
        <v>47</v>
      </c>
    </row>
    <row r="41" spans="1:9">
      <c r="A41" t="s">
        <v>9</v>
      </c>
      <c r="B41" t="s">
        <v>10</v>
      </c>
      <c r="C41">
        <v>6</v>
      </c>
      <c r="D41" t="s">
        <v>49</v>
      </c>
      <c r="E41">
        <v>7</v>
      </c>
      <c r="F41" t="s">
        <v>48</v>
      </c>
      <c r="I41">
        <v>1</v>
      </c>
    </row>
    <row r="42" spans="1:9">
      <c r="A42" t="s">
        <v>9</v>
      </c>
      <c r="B42" t="s">
        <v>10</v>
      </c>
      <c r="C42">
        <v>7</v>
      </c>
      <c r="D42" t="s">
        <v>54</v>
      </c>
      <c r="E42">
        <v>1</v>
      </c>
      <c r="F42" t="s">
        <v>55</v>
      </c>
      <c r="I42">
        <v>1</v>
      </c>
    </row>
    <row r="43" spans="1:9">
      <c r="A43" t="s">
        <v>9</v>
      </c>
      <c r="B43" t="s">
        <v>10</v>
      </c>
      <c r="C43">
        <v>7</v>
      </c>
      <c r="D43" t="s">
        <v>54</v>
      </c>
      <c r="E43">
        <v>2</v>
      </c>
      <c r="F43" t="s">
        <v>56</v>
      </c>
    </row>
    <row r="44" spans="1:9">
      <c r="A44" t="s">
        <v>9</v>
      </c>
      <c r="B44" t="s">
        <v>10</v>
      </c>
      <c r="C44">
        <v>7</v>
      </c>
      <c r="D44" t="s">
        <v>54</v>
      </c>
      <c r="E44">
        <v>3</v>
      </c>
      <c r="F44" t="s">
        <v>57</v>
      </c>
    </row>
    <row r="45" spans="1:9">
      <c r="A45" t="s">
        <v>9</v>
      </c>
      <c r="B45" t="s">
        <v>10</v>
      </c>
      <c r="C45">
        <v>7</v>
      </c>
      <c r="D45" t="s">
        <v>54</v>
      </c>
      <c r="E45">
        <v>4</v>
      </c>
      <c r="F45" t="s">
        <v>58</v>
      </c>
    </row>
    <row r="46" spans="1:9">
      <c r="A46" t="s">
        <v>9</v>
      </c>
      <c r="B46" t="s">
        <v>10</v>
      </c>
      <c r="C46">
        <v>7</v>
      </c>
      <c r="D46" t="s">
        <v>54</v>
      </c>
      <c r="E46">
        <v>5</v>
      </c>
      <c r="F46" t="s">
        <v>59</v>
      </c>
    </row>
    <row r="47" spans="1:9">
      <c r="A47" t="s">
        <v>9</v>
      </c>
      <c r="B47" t="s">
        <v>10</v>
      </c>
      <c r="C47">
        <v>8</v>
      </c>
      <c r="D47" t="s">
        <v>60</v>
      </c>
      <c r="E47">
        <v>1</v>
      </c>
      <c r="F47" t="s">
        <v>61</v>
      </c>
    </row>
    <row r="48" spans="1:9">
      <c r="A48" t="s">
        <v>9</v>
      </c>
      <c r="B48" t="s">
        <v>10</v>
      </c>
      <c r="C48">
        <v>8</v>
      </c>
      <c r="D48" t="s">
        <v>60</v>
      </c>
      <c r="E48">
        <v>2</v>
      </c>
      <c r="F48" t="s">
        <v>62</v>
      </c>
    </row>
    <row r="49" spans="1:9">
      <c r="A49" t="s">
        <v>9</v>
      </c>
      <c r="B49" t="s">
        <v>10</v>
      </c>
      <c r="C49">
        <v>8</v>
      </c>
      <c r="D49" t="s">
        <v>60</v>
      </c>
      <c r="E49">
        <v>3</v>
      </c>
      <c r="F49" t="s">
        <v>63</v>
      </c>
    </row>
    <row r="50" spans="1:9">
      <c r="A50" t="s">
        <v>9</v>
      </c>
      <c r="B50" t="s">
        <v>10</v>
      </c>
      <c r="C50">
        <v>8</v>
      </c>
      <c r="D50" t="s">
        <v>60</v>
      </c>
      <c r="E50">
        <v>4</v>
      </c>
      <c r="F50" t="s">
        <v>64</v>
      </c>
      <c r="I50">
        <v>1</v>
      </c>
    </row>
    <row r="51" spans="1:9">
      <c r="A51" t="s">
        <v>9</v>
      </c>
      <c r="B51" t="s">
        <v>10</v>
      </c>
      <c r="C51">
        <v>8</v>
      </c>
      <c r="D51" t="s">
        <v>60</v>
      </c>
      <c r="E51">
        <v>5</v>
      </c>
      <c r="F51" t="s">
        <v>65</v>
      </c>
    </row>
    <row r="52" spans="1:9">
      <c r="A52" t="s">
        <v>9</v>
      </c>
      <c r="B52" t="s">
        <v>10</v>
      </c>
      <c r="C52">
        <v>8</v>
      </c>
      <c r="D52" t="s">
        <v>60</v>
      </c>
      <c r="E52">
        <v>6</v>
      </c>
      <c r="F52" t="s">
        <v>66</v>
      </c>
      <c r="I52">
        <v>1</v>
      </c>
    </row>
    <row r="53" spans="1:9">
      <c r="A53" t="s">
        <v>9</v>
      </c>
      <c r="B53" t="s">
        <v>67</v>
      </c>
      <c r="C53">
        <v>9</v>
      </c>
      <c r="D53" t="s">
        <v>68</v>
      </c>
      <c r="E53">
        <v>1</v>
      </c>
      <c r="F53" t="s">
        <v>69</v>
      </c>
    </row>
    <row r="54" spans="1:9">
      <c r="A54" t="s">
        <v>9</v>
      </c>
      <c r="B54" t="s">
        <v>67</v>
      </c>
      <c r="C54">
        <v>9</v>
      </c>
      <c r="D54" t="s">
        <v>68</v>
      </c>
      <c r="E54">
        <v>2</v>
      </c>
      <c r="F54" t="s">
        <v>70</v>
      </c>
      <c r="I54">
        <v>1</v>
      </c>
    </row>
    <row r="55" spans="1:9">
      <c r="A55" t="s">
        <v>9</v>
      </c>
      <c r="B55" t="s">
        <v>67</v>
      </c>
      <c r="C55">
        <v>9</v>
      </c>
      <c r="D55" t="s">
        <v>68</v>
      </c>
      <c r="E55">
        <v>3</v>
      </c>
      <c r="F55" t="s">
        <v>71</v>
      </c>
    </row>
    <row r="56" spans="1:9">
      <c r="A56" t="s">
        <v>9</v>
      </c>
      <c r="B56" t="s">
        <v>67</v>
      </c>
      <c r="C56">
        <v>9</v>
      </c>
      <c r="D56" t="s">
        <v>68</v>
      </c>
      <c r="E56">
        <v>4</v>
      </c>
      <c r="F56" t="s">
        <v>72</v>
      </c>
      <c r="I56">
        <v>1</v>
      </c>
    </row>
    <row r="57" spans="1:9">
      <c r="A57" t="s">
        <v>9</v>
      </c>
      <c r="B57" t="s">
        <v>67</v>
      </c>
      <c r="C57">
        <v>9</v>
      </c>
      <c r="D57" t="s">
        <v>68</v>
      </c>
      <c r="E57">
        <v>5</v>
      </c>
      <c r="F57" t="s">
        <v>73</v>
      </c>
    </row>
    <row r="58" spans="1:9">
      <c r="A58" t="s">
        <v>9</v>
      </c>
      <c r="B58" t="s">
        <v>67</v>
      </c>
      <c r="C58">
        <v>9</v>
      </c>
      <c r="D58" t="s">
        <v>68</v>
      </c>
      <c r="E58">
        <v>6</v>
      </c>
      <c r="F58" t="s">
        <v>74</v>
      </c>
    </row>
    <row r="59" spans="1:9">
      <c r="A59" t="s">
        <v>9</v>
      </c>
      <c r="B59" t="s">
        <v>67</v>
      </c>
      <c r="C59">
        <v>9</v>
      </c>
      <c r="D59" t="s">
        <v>68</v>
      </c>
      <c r="E59">
        <v>7</v>
      </c>
      <c r="F59" t="s">
        <v>75</v>
      </c>
    </row>
    <row r="60" spans="1:9">
      <c r="A60" t="s">
        <v>9</v>
      </c>
      <c r="B60" t="s">
        <v>67</v>
      </c>
      <c r="C60">
        <v>9</v>
      </c>
      <c r="D60" t="s">
        <v>68</v>
      </c>
      <c r="E60">
        <v>8</v>
      </c>
      <c r="F60" t="s">
        <v>76</v>
      </c>
      <c r="I60">
        <v>1</v>
      </c>
    </row>
    <row r="61" spans="1:9">
      <c r="A61" t="s">
        <v>9</v>
      </c>
      <c r="B61" t="s">
        <v>67</v>
      </c>
      <c r="C61">
        <v>9</v>
      </c>
      <c r="D61" t="s">
        <v>68</v>
      </c>
      <c r="E61">
        <v>9</v>
      </c>
      <c r="F61" t="s">
        <v>77</v>
      </c>
    </row>
    <row r="62" spans="1:9">
      <c r="A62" t="s">
        <v>9</v>
      </c>
      <c r="B62" t="s">
        <v>67</v>
      </c>
      <c r="C62">
        <v>9</v>
      </c>
      <c r="D62" t="s">
        <v>68</v>
      </c>
      <c r="E62">
        <v>10</v>
      </c>
      <c r="F62" t="s">
        <v>78</v>
      </c>
    </row>
    <row r="63" spans="1:9">
      <c r="A63" t="s">
        <v>9</v>
      </c>
      <c r="B63" t="s">
        <v>67</v>
      </c>
      <c r="C63">
        <v>10</v>
      </c>
      <c r="D63" t="s">
        <v>79</v>
      </c>
      <c r="E63">
        <v>1</v>
      </c>
      <c r="F63" t="s">
        <v>69</v>
      </c>
    </row>
    <row r="64" spans="1:9">
      <c r="A64" t="s">
        <v>9</v>
      </c>
      <c r="B64" t="s">
        <v>67</v>
      </c>
      <c r="C64">
        <v>10</v>
      </c>
      <c r="D64" t="s">
        <v>79</v>
      </c>
      <c r="E64">
        <v>2</v>
      </c>
      <c r="F64" t="s">
        <v>71</v>
      </c>
    </row>
    <row r="65" spans="1:9">
      <c r="A65" t="s">
        <v>9</v>
      </c>
      <c r="B65" t="s">
        <v>67</v>
      </c>
      <c r="C65">
        <v>10</v>
      </c>
      <c r="D65" t="s">
        <v>79</v>
      </c>
      <c r="E65">
        <v>3</v>
      </c>
      <c r="F65" t="s">
        <v>80</v>
      </c>
    </row>
    <row r="66" spans="1:9">
      <c r="A66" t="s">
        <v>9</v>
      </c>
      <c r="B66" t="s">
        <v>67</v>
      </c>
      <c r="C66">
        <v>10</v>
      </c>
      <c r="D66" t="s">
        <v>79</v>
      </c>
      <c r="E66">
        <v>4</v>
      </c>
      <c r="F66" t="s">
        <v>81</v>
      </c>
      <c r="I66">
        <v>1</v>
      </c>
    </row>
    <row r="67" spans="1:9">
      <c r="A67" t="s">
        <v>9</v>
      </c>
      <c r="B67" t="s">
        <v>67</v>
      </c>
      <c r="C67">
        <v>10</v>
      </c>
      <c r="D67" t="s">
        <v>79</v>
      </c>
      <c r="E67">
        <v>5</v>
      </c>
      <c r="F67" t="s">
        <v>82</v>
      </c>
    </row>
    <row r="68" spans="1:9">
      <c r="A68" t="s">
        <v>9</v>
      </c>
      <c r="B68" t="s">
        <v>67</v>
      </c>
      <c r="C68">
        <v>10</v>
      </c>
      <c r="D68" t="s">
        <v>79</v>
      </c>
      <c r="E68">
        <v>6</v>
      </c>
      <c r="F68" t="s">
        <v>75</v>
      </c>
    </row>
    <row r="69" spans="1:9">
      <c r="A69" t="s">
        <v>9</v>
      </c>
      <c r="B69" t="s">
        <v>67</v>
      </c>
      <c r="C69">
        <v>10</v>
      </c>
      <c r="D69" t="s">
        <v>79</v>
      </c>
      <c r="E69">
        <v>7</v>
      </c>
      <c r="F69" t="s">
        <v>76</v>
      </c>
    </row>
    <row r="70" spans="1:9">
      <c r="A70" t="s">
        <v>9</v>
      </c>
      <c r="B70" t="s">
        <v>67</v>
      </c>
      <c r="C70">
        <v>10</v>
      </c>
      <c r="D70" t="s">
        <v>79</v>
      </c>
      <c r="E70">
        <v>8</v>
      </c>
      <c r="F70" t="s">
        <v>77</v>
      </c>
    </row>
    <row r="71" spans="1:9">
      <c r="A71" t="s">
        <v>9</v>
      </c>
      <c r="B71" t="s">
        <v>67</v>
      </c>
      <c r="C71">
        <v>10</v>
      </c>
      <c r="D71" t="s">
        <v>79</v>
      </c>
      <c r="E71">
        <v>9</v>
      </c>
      <c r="F71" t="s">
        <v>78</v>
      </c>
    </row>
    <row r="72" spans="1:9">
      <c r="A72" t="s">
        <v>9</v>
      </c>
      <c r="B72" t="s">
        <v>67</v>
      </c>
      <c r="C72">
        <v>11</v>
      </c>
      <c r="D72" t="s">
        <v>83</v>
      </c>
      <c r="E72">
        <v>1</v>
      </c>
      <c r="F72" t="s">
        <v>76</v>
      </c>
      <c r="I72">
        <v>1</v>
      </c>
    </row>
    <row r="73" spans="1:9">
      <c r="A73" t="s">
        <v>9</v>
      </c>
      <c r="B73" t="s">
        <v>67</v>
      </c>
      <c r="C73">
        <v>11</v>
      </c>
      <c r="D73" t="s">
        <v>83</v>
      </c>
      <c r="E73">
        <v>2</v>
      </c>
      <c r="F73" t="s">
        <v>84</v>
      </c>
    </row>
    <row r="74" spans="1:9">
      <c r="A74" t="s">
        <v>9</v>
      </c>
      <c r="B74" t="s">
        <v>67</v>
      </c>
      <c r="C74">
        <v>11</v>
      </c>
      <c r="D74" t="s">
        <v>83</v>
      </c>
      <c r="E74">
        <v>3</v>
      </c>
      <c r="F74" t="s">
        <v>85</v>
      </c>
    </row>
    <row r="75" spans="1:9">
      <c r="A75" t="s">
        <v>9</v>
      </c>
      <c r="B75" t="s">
        <v>67</v>
      </c>
      <c r="C75">
        <v>12</v>
      </c>
      <c r="D75" t="s">
        <v>86</v>
      </c>
      <c r="E75">
        <v>1</v>
      </c>
      <c r="F75" t="s">
        <v>87</v>
      </c>
    </row>
    <row r="76" spans="1:9">
      <c r="A76" t="s">
        <v>9</v>
      </c>
      <c r="B76" t="s">
        <v>67</v>
      </c>
      <c r="C76">
        <v>12</v>
      </c>
      <c r="D76" t="s">
        <v>86</v>
      </c>
      <c r="E76">
        <v>2</v>
      </c>
      <c r="F76" t="s">
        <v>88</v>
      </c>
      <c r="I76">
        <v>1</v>
      </c>
    </row>
    <row r="77" spans="1:9">
      <c r="A77" t="s">
        <v>9</v>
      </c>
      <c r="B77" t="s">
        <v>67</v>
      </c>
      <c r="C77">
        <v>12</v>
      </c>
      <c r="D77" t="s">
        <v>86</v>
      </c>
      <c r="E77">
        <v>3</v>
      </c>
      <c r="F77" t="s">
        <v>89</v>
      </c>
    </row>
    <row r="78" spans="1:9">
      <c r="A78" t="s">
        <v>9</v>
      </c>
      <c r="B78" t="s">
        <v>67</v>
      </c>
      <c r="C78">
        <v>12</v>
      </c>
      <c r="D78" t="s">
        <v>86</v>
      </c>
      <c r="E78">
        <v>4</v>
      </c>
      <c r="F78" t="s">
        <v>90</v>
      </c>
    </row>
    <row r="79" spans="1:9">
      <c r="A79" t="s">
        <v>9</v>
      </c>
      <c r="B79" t="s">
        <v>67</v>
      </c>
      <c r="C79">
        <v>12</v>
      </c>
      <c r="D79" t="s">
        <v>86</v>
      </c>
      <c r="E79">
        <v>5</v>
      </c>
      <c r="F79" t="s">
        <v>91</v>
      </c>
    </row>
    <row r="80" spans="1:9">
      <c r="A80" t="s">
        <v>9</v>
      </c>
      <c r="B80" t="s">
        <v>67</v>
      </c>
      <c r="C80">
        <v>12</v>
      </c>
      <c r="D80" t="s">
        <v>86</v>
      </c>
      <c r="E80">
        <v>6</v>
      </c>
      <c r="F80" t="s">
        <v>92</v>
      </c>
    </row>
    <row r="81" spans="1:9">
      <c r="A81" t="s">
        <v>9</v>
      </c>
      <c r="B81" t="s">
        <v>67</v>
      </c>
      <c r="C81">
        <v>13</v>
      </c>
      <c r="D81" t="s">
        <v>93</v>
      </c>
      <c r="E81">
        <v>1</v>
      </c>
      <c r="F81" t="s">
        <v>94</v>
      </c>
      <c r="I81">
        <v>1</v>
      </c>
    </row>
    <row r="82" spans="1:9">
      <c r="A82" t="s">
        <v>9</v>
      </c>
      <c r="B82" t="s">
        <v>67</v>
      </c>
      <c r="C82">
        <v>13</v>
      </c>
      <c r="D82" t="s">
        <v>93</v>
      </c>
      <c r="E82">
        <v>2</v>
      </c>
      <c r="F82" t="s">
        <v>95</v>
      </c>
    </row>
    <row r="83" spans="1:9">
      <c r="A83" t="s">
        <v>9</v>
      </c>
      <c r="B83" t="s">
        <v>67</v>
      </c>
      <c r="C83">
        <v>13</v>
      </c>
      <c r="D83" t="s">
        <v>93</v>
      </c>
      <c r="E83">
        <v>3</v>
      </c>
      <c r="F83" t="s">
        <v>96</v>
      </c>
    </row>
    <row r="84" spans="1:9">
      <c r="A84" t="s">
        <v>9</v>
      </c>
      <c r="B84" t="s">
        <v>67</v>
      </c>
      <c r="C84">
        <v>13</v>
      </c>
      <c r="D84" t="s">
        <v>93</v>
      </c>
      <c r="E84">
        <v>4</v>
      </c>
      <c r="F84" t="s">
        <v>97</v>
      </c>
    </row>
    <row r="85" spans="1:9">
      <c r="A85" t="s">
        <v>9</v>
      </c>
      <c r="B85" t="s">
        <v>67</v>
      </c>
      <c r="C85">
        <v>13</v>
      </c>
      <c r="D85" t="s">
        <v>93</v>
      </c>
      <c r="E85">
        <v>5</v>
      </c>
      <c r="F85" t="s">
        <v>98</v>
      </c>
      <c r="I85">
        <v>1</v>
      </c>
    </row>
    <row r="86" spans="1:9">
      <c r="A86" t="s">
        <v>9</v>
      </c>
      <c r="B86" t="s">
        <v>67</v>
      </c>
      <c r="C86">
        <v>13</v>
      </c>
      <c r="D86" t="s">
        <v>93</v>
      </c>
      <c r="E86">
        <v>6</v>
      </c>
      <c r="F86" t="s">
        <v>99</v>
      </c>
    </row>
    <row r="87" spans="1:9">
      <c r="A87" t="s">
        <v>9</v>
      </c>
      <c r="B87" t="s">
        <v>100</v>
      </c>
      <c r="C87">
        <v>14</v>
      </c>
      <c r="D87" t="s">
        <v>101</v>
      </c>
      <c r="E87">
        <v>1</v>
      </c>
      <c r="F87" t="s">
        <v>102</v>
      </c>
    </row>
    <row r="88" spans="1:9">
      <c r="A88" t="s">
        <v>9</v>
      </c>
      <c r="B88" t="s">
        <v>100</v>
      </c>
      <c r="C88">
        <v>14</v>
      </c>
      <c r="D88" t="s">
        <v>101</v>
      </c>
      <c r="E88">
        <v>2</v>
      </c>
      <c r="F88" t="s">
        <v>103</v>
      </c>
    </row>
    <row r="89" spans="1:9">
      <c r="A89" t="s">
        <v>9</v>
      </c>
      <c r="B89" t="s">
        <v>100</v>
      </c>
      <c r="C89">
        <v>15</v>
      </c>
      <c r="D89" t="s">
        <v>104</v>
      </c>
      <c r="E89">
        <v>1</v>
      </c>
      <c r="F89" t="s">
        <v>105</v>
      </c>
    </row>
    <row r="90" spans="1:9">
      <c r="A90" t="s">
        <v>9</v>
      </c>
      <c r="B90" t="s">
        <v>100</v>
      </c>
      <c r="C90">
        <v>15</v>
      </c>
      <c r="D90" t="s">
        <v>104</v>
      </c>
      <c r="E90">
        <v>2</v>
      </c>
      <c r="F90" t="s">
        <v>106</v>
      </c>
    </row>
    <row r="91" spans="1:9">
      <c r="A91" t="s">
        <v>9</v>
      </c>
      <c r="B91" t="s">
        <v>100</v>
      </c>
      <c r="C91">
        <v>15</v>
      </c>
      <c r="D91" t="s">
        <v>104</v>
      </c>
      <c r="E91">
        <v>3</v>
      </c>
      <c r="F91" t="s">
        <v>107</v>
      </c>
    </row>
    <row r="92" spans="1:9">
      <c r="A92" t="s">
        <v>9</v>
      </c>
      <c r="B92" t="s">
        <v>100</v>
      </c>
      <c r="C92">
        <v>15</v>
      </c>
      <c r="D92" t="s">
        <v>104</v>
      </c>
      <c r="E92">
        <v>4</v>
      </c>
      <c r="F92" t="s">
        <v>108</v>
      </c>
    </row>
    <row r="93" spans="1:9">
      <c r="A93" t="s">
        <v>9</v>
      </c>
      <c r="B93" t="s">
        <v>100</v>
      </c>
      <c r="C93">
        <v>15</v>
      </c>
      <c r="D93" t="s">
        <v>104</v>
      </c>
      <c r="E93">
        <v>5</v>
      </c>
      <c r="F93" t="s">
        <v>109</v>
      </c>
      <c r="I93">
        <v>1</v>
      </c>
    </row>
    <row r="94" spans="1:9">
      <c r="A94" t="s">
        <v>9</v>
      </c>
      <c r="B94" t="s">
        <v>100</v>
      </c>
      <c r="C94">
        <v>15</v>
      </c>
      <c r="D94" t="s">
        <v>104</v>
      </c>
      <c r="E94">
        <v>6</v>
      </c>
      <c r="F94" t="s">
        <v>110</v>
      </c>
    </row>
    <row r="95" spans="1:9">
      <c r="A95" t="s">
        <v>9</v>
      </c>
      <c r="B95" t="s">
        <v>100</v>
      </c>
      <c r="C95">
        <v>15</v>
      </c>
      <c r="D95" t="s">
        <v>104</v>
      </c>
      <c r="E95">
        <v>7</v>
      </c>
      <c r="F95" t="s">
        <v>111</v>
      </c>
    </row>
    <row r="96" spans="1:9">
      <c r="A96" t="s">
        <v>9</v>
      </c>
      <c r="B96" t="s">
        <v>100</v>
      </c>
      <c r="C96">
        <v>16</v>
      </c>
      <c r="D96" t="s">
        <v>112</v>
      </c>
      <c r="E96">
        <v>1</v>
      </c>
      <c r="F96" t="s">
        <v>113</v>
      </c>
    </row>
    <row r="97" spans="1:9">
      <c r="A97" t="s">
        <v>9</v>
      </c>
      <c r="B97" t="s">
        <v>100</v>
      </c>
      <c r="C97">
        <v>16</v>
      </c>
      <c r="D97" t="s">
        <v>112</v>
      </c>
      <c r="E97">
        <v>2</v>
      </c>
      <c r="F97" t="s">
        <v>114</v>
      </c>
    </row>
    <row r="98" spans="1:9">
      <c r="A98" t="s">
        <v>9</v>
      </c>
      <c r="B98" t="s">
        <v>100</v>
      </c>
      <c r="C98">
        <v>16</v>
      </c>
      <c r="D98" t="s">
        <v>112</v>
      </c>
      <c r="E98">
        <v>3</v>
      </c>
      <c r="F98" t="s">
        <v>115</v>
      </c>
    </row>
    <row r="99" spans="1:9">
      <c r="A99" t="s">
        <v>9</v>
      </c>
      <c r="B99" t="s">
        <v>100</v>
      </c>
      <c r="C99">
        <v>16</v>
      </c>
      <c r="D99" t="s">
        <v>112</v>
      </c>
      <c r="E99">
        <v>4</v>
      </c>
      <c r="F99" t="s">
        <v>109</v>
      </c>
      <c r="I99">
        <v>1</v>
      </c>
    </row>
    <row r="100" spans="1:9">
      <c r="A100" t="s">
        <v>9</v>
      </c>
      <c r="B100" t="s">
        <v>100</v>
      </c>
      <c r="C100">
        <v>16</v>
      </c>
      <c r="D100" t="s">
        <v>112</v>
      </c>
      <c r="E100">
        <v>5</v>
      </c>
      <c r="F100" t="s">
        <v>116</v>
      </c>
    </row>
    <row r="101" spans="1:9">
      <c r="A101" t="s">
        <v>9</v>
      </c>
      <c r="B101" t="s">
        <v>100</v>
      </c>
      <c r="C101">
        <v>16</v>
      </c>
      <c r="D101" t="s">
        <v>112</v>
      </c>
      <c r="E101">
        <v>6</v>
      </c>
      <c r="F101" t="s">
        <v>111</v>
      </c>
    </row>
    <row r="102" spans="1:9">
      <c r="A102" t="s">
        <v>9</v>
      </c>
      <c r="B102" t="s">
        <v>100</v>
      </c>
      <c r="C102">
        <v>17</v>
      </c>
      <c r="D102" t="s">
        <v>117</v>
      </c>
      <c r="E102">
        <v>1</v>
      </c>
      <c r="F102" t="s">
        <v>118</v>
      </c>
      <c r="I102">
        <v>1</v>
      </c>
    </row>
    <row r="103" spans="1:9">
      <c r="A103" t="s">
        <v>9</v>
      </c>
      <c r="B103" t="s">
        <v>100</v>
      </c>
      <c r="C103">
        <v>17</v>
      </c>
      <c r="D103" t="s">
        <v>117</v>
      </c>
      <c r="E103">
        <v>2</v>
      </c>
      <c r="F103" t="s">
        <v>114</v>
      </c>
    </row>
    <row r="104" spans="1:9">
      <c r="A104" t="s">
        <v>9</v>
      </c>
      <c r="B104" t="s">
        <v>100</v>
      </c>
      <c r="C104">
        <v>17</v>
      </c>
      <c r="D104" t="s">
        <v>117</v>
      </c>
      <c r="E104">
        <v>3</v>
      </c>
      <c r="F104" t="s">
        <v>119</v>
      </c>
      <c r="I104">
        <v>1</v>
      </c>
    </row>
    <row r="105" spans="1:9">
      <c r="A105" t="s">
        <v>9</v>
      </c>
      <c r="B105" t="s">
        <v>100</v>
      </c>
      <c r="C105">
        <v>17</v>
      </c>
      <c r="D105" t="s">
        <v>117</v>
      </c>
      <c r="E105">
        <v>4</v>
      </c>
      <c r="F105" t="s">
        <v>120</v>
      </c>
    </row>
    <row r="106" spans="1:9">
      <c r="A106" t="s">
        <v>9</v>
      </c>
      <c r="B106" t="s">
        <v>100</v>
      </c>
      <c r="C106">
        <v>17</v>
      </c>
      <c r="D106" t="s">
        <v>117</v>
      </c>
      <c r="E106">
        <v>5</v>
      </c>
      <c r="F106" t="s">
        <v>111</v>
      </c>
    </row>
    <row r="107" spans="1:9">
      <c r="A107" t="s">
        <v>9</v>
      </c>
      <c r="B107" t="s">
        <v>100</v>
      </c>
      <c r="C107">
        <v>18</v>
      </c>
      <c r="D107" t="s">
        <v>121</v>
      </c>
      <c r="E107">
        <v>1</v>
      </c>
      <c r="F107" t="s">
        <v>122</v>
      </c>
    </row>
    <row r="108" spans="1:9">
      <c r="A108" t="s">
        <v>9</v>
      </c>
      <c r="B108" t="s">
        <v>100</v>
      </c>
      <c r="C108">
        <v>18</v>
      </c>
      <c r="D108" t="s">
        <v>121</v>
      </c>
      <c r="E108">
        <v>2</v>
      </c>
      <c r="F108" t="s">
        <v>114</v>
      </c>
    </row>
    <row r="109" spans="1:9">
      <c r="A109" t="s">
        <v>9</v>
      </c>
      <c r="B109" t="s">
        <v>100</v>
      </c>
      <c r="C109">
        <v>18</v>
      </c>
      <c r="D109" t="s">
        <v>121</v>
      </c>
      <c r="E109">
        <v>3</v>
      </c>
      <c r="F109" t="s">
        <v>123</v>
      </c>
    </row>
    <row r="110" spans="1:9">
      <c r="A110" t="s">
        <v>9</v>
      </c>
      <c r="B110" t="s">
        <v>100</v>
      </c>
      <c r="C110">
        <v>18</v>
      </c>
      <c r="D110" t="s">
        <v>121</v>
      </c>
      <c r="E110">
        <v>4</v>
      </c>
      <c r="F110" t="s">
        <v>109</v>
      </c>
      <c r="I110">
        <v>1</v>
      </c>
    </row>
    <row r="111" spans="1:9">
      <c r="A111" t="s">
        <v>9</v>
      </c>
      <c r="B111" t="s">
        <v>100</v>
      </c>
      <c r="C111">
        <v>18</v>
      </c>
      <c r="D111" t="s">
        <v>121</v>
      </c>
      <c r="E111">
        <v>5</v>
      </c>
      <c r="F111" t="s">
        <v>120</v>
      </c>
    </row>
    <row r="112" spans="1:9">
      <c r="A112" t="s">
        <v>9</v>
      </c>
      <c r="B112" t="s">
        <v>100</v>
      </c>
      <c r="C112">
        <v>18</v>
      </c>
      <c r="D112" t="s">
        <v>121</v>
      </c>
      <c r="E112">
        <v>6</v>
      </c>
      <c r="F112" t="s">
        <v>111</v>
      </c>
    </row>
    <row r="113" spans="1:9">
      <c r="A113" t="s">
        <v>9</v>
      </c>
      <c r="B113" t="s">
        <v>100</v>
      </c>
      <c r="C113">
        <v>19</v>
      </c>
      <c r="D113" t="s">
        <v>124</v>
      </c>
      <c r="E113">
        <v>1</v>
      </c>
      <c r="F113" t="s">
        <v>125</v>
      </c>
      <c r="I113">
        <v>1</v>
      </c>
    </row>
    <row r="114" spans="1:9">
      <c r="A114" t="s">
        <v>9</v>
      </c>
      <c r="B114" t="s">
        <v>100</v>
      </c>
      <c r="C114">
        <v>19</v>
      </c>
      <c r="D114" t="s">
        <v>124</v>
      </c>
      <c r="E114">
        <v>2</v>
      </c>
      <c r="F114" t="s">
        <v>126</v>
      </c>
    </row>
    <row r="115" spans="1:9">
      <c r="A115" t="s">
        <v>9</v>
      </c>
      <c r="B115" t="s">
        <v>100</v>
      </c>
      <c r="C115">
        <v>19</v>
      </c>
      <c r="D115" t="s">
        <v>124</v>
      </c>
      <c r="E115">
        <v>3</v>
      </c>
      <c r="F115" t="s">
        <v>127</v>
      </c>
      <c r="I115">
        <v>1</v>
      </c>
    </row>
    <row r="116" spans="1:9">
      <c r="A116" t="s">
        <v>9</v>
      </c>
      <c r="B116" t="s">
        <v>100</v>
      </c>
      <c r="C116">
        <v>19</v>
      </c>
      <c r="D116" t="s">
        <v>124</v>
      </c>
      <c r="E116">
        <v>4</v>
      </c>
      <c r="F116" t="s">
        <v>128</v>
      </c>
    </row>
    <row r="117" spans="1:9">
      <c r="A117" t="s">
        <v>9</v>
      </c>
      <c r="B117" t="s">
        <v>100</v>
      </c>
      <c r="C117">
        <v>20</v>
      </c>
      <c r="D117" t="s">
        <v>129</v>
      </c>
      <c r="E117">
        <v>1</v>
      </c>
      <c r="F117" t="s">
        <v>130</v>
      </c>
      <c r="I117">
        <v>1</v>
      </c>
    </row>
    <row r="118" spans="1:9">
      <c r="A118" t="s">
        <v>9</v>
      </c>
      <c r="B118" t="s">
        <v>100</v>
      </c>
      <c r="C118">
        <v>20</v>
      </c>
      <c r="D118" t="s">
        <v>129</v>
      </c>
      <c r="E118">
        <v>2</v>
      </c>
      <c r="F118" t="s">
        <v>131</v>
      </c>
    </row>
    <row r="119" spans="1:9">
      <c r="A119" t="s">
        <v>9</v>
      </c>
      <c r="B119" t="s">
        <v>100</v>
      </c>
      <c r="C119">
        <v>20</v>
      </c>
      <c r="D119" t="s">
        <v>129</v>
      </c>
      <c r="E119">
        <v>3</v>
      </c>
      <c r="F119" t="s">
        <v>132</v>
      </c>
    </row>
    <row r="120" spans="1:9">
      <c r="A120" t="s">
        <v>9</v>
      </c>
      <c r="B120" t="s">
        <v>100</v>
      </c>
      <c r="C120">
        <v>20</v>
      </c>
      <c r="D120" t="s">
        <v>129</v>
      </c>
      <c r="E120">
        <v>4</v>
      </c>
      <c r="F120" t="s">
        <v>133</v>
      </c>
    </row>
    <row r="121" spans="1:9">
      <c r="A121" t="s">
        <v>9</v>
      </c>
      <c r="B121" t="s">
        <v>100</v>
      </c>
      <c r="C121">
        <v>21</v>
      </c>
      <c r="D121" t="s">
        <v>134</v>
      </c>
      <c r="E121">
        <v>1</v>
      </c>
      <c r="F121" t="s">
        <v>135</v>
      </c>
    </row>
    <row r="122" spans="1:9">
      <c r="A122" t="s">
        <v>9</v>
      </c>
      <c r="B122" t="s">
        <v>100</v>
      </c>
      <c r="C122">
        <v>21</v>
      </c>
      <c r="D122" t="s">
        <v>134</v>
      </c>
      <c r="E122">
        <v>2</v>
      </c>
      <c r="F122" t="s">
        <v>136</v>
      </c>
    </row>
    <row r="123" spans="1:9">
      <c r="A123" t="s">
        <v>9</v>
      </c>
      <c r="B123" t="s">
        <v>100</v>
      </c>
      <c r="C123">
        <v>21</v>
      </c>
      <c r="D123" t="s">
        <v>134</v>
      </c>
      <c r="E123">
        <v>3</v>
      </c>
      <c r="F123" t="s">
        <v>137</v>
      </c>
    </row>
    <row r="124" spans="1:9">
      <c r="A124" t="s">
        <v>9</v>
      </c>
      <c r="B124" t="s">
        <v>100</v>
      </c>
      <c r="C124">
        <v>21</v>
      </c>
      <c r="D124" t="s">
        <v>134</v>
      </c>
      <c r="E124">
        <v>4</v>
      </c>
      <c r="F124" t="s">
        <v>138</v>
      </c>
    </row>
    <row r="125" spans="1:9">
      <c r="A125" t="s">
        <v>9</v>
      </c>
      <c r="B125" t="s">
        <v>100</v>
      </c>
      <c r="C125">
        <v>21</v>
      </c>
      <c r="D125" t="s">
        <v>134</v>
      </c>
      <c r="E125">
        <v>5</v>
      </c>
      <c r="F125" t="s">
        <v>139</v>
      </c>
    </row>
    <row r="126" spans="1:9">
      <c r="A126" t="s">
        <v>9</v>
      </c>
      <c r="B126" t="s">
        <v>100</v>
      </c>
      <c r="C126">
        <v>21</v>
      </c>
      <c r="D126" t="s">
        <v>134</v>
      </c>
      <c r="E126">
        <v>6</v>
      </c>
      <c r="F126" t="s">
        <v>140</v>
      </c>
      <c r="I126">
        <v>1</v>
      </c>
    </row>
    <row r="127" spans="1:9">
      <c r="A127" t="s">
        <v>9</v>
      </c>
      <c r="B127" t="s">
        <v>100</v>
      </c>
      <c r="C127">
        <v>21</v>
      </c>
      <c r="D127" t="s">
        <v>134</v>
      </c>
      <c r="E127">
        <v>7</v>
      </c>
      <c r="F127" t="s">
        <v>141</v>
      </c>
    </row>
    <row r="128" spans="1:9">
      <c r="A128" t="s">
        <v>9</v>
      </c>
      <c r="B128" t="s">
        <v>100</v>
      </c>
      <c r="C128">
        <v>22</v>
      </c>
      <c r="D128" t="s">
        <v>142</v>
      </c>
      <c r="E128">
        <v>1</v>
      </c>
      <c r="F128" t="s">
        <v>143</v>
      </c>
    </row>
    <row r="129" spans="1:6">
      <c r="A129" t="s">
        <v>9</v>
      </c>
      <c r="B129" t="s">
        <v>100</v>
      </c>
      <c r="C129">
        <v>22</v>
      </c>
      <c r="D129" t="s">
        <v>142</v>
      </c>
      <c r="E129">
        <v>2</v>
      </c>
      <c r="F129" t="s">
        <v>144</v>
      </c>
    </row>
    <row r="130" spans="1:6">
      <c r="A130" t="s">
        <v>9</v>
      </c>
      <c r="B130" t="s">
        <v>100</v>
      </c>
      <c r="C130">
        <v>22</v>
      </c>
      <c r="D130" t="s">
        <v>142</v>
      </c>
      <c r="E130">
        <v>3</v>
      </c>
      <c r="F130" t="s">
        <v>145</v>
      </c>
    </row>
    <row r="131" spans="1:6">
      <c r="A131" t="s">
        <v>9</v>
      </c>
      <c r="B131" t="s">
        <v>100</v>
      </c>
      <c r="C131">
        <v>23</v>
      </c>
      <c r="D131" t="s">
        <v>146</v>
      </c>
      <c r="E131">
        <v>4</v>
      </c>
      <c r="F131" t="s">
        <v>147</v>
      </c>
    </row>
    <row r="132" spans="1:6">
      <c r="A132" t="s">
        <v>9</v>
      </c>
      <c r="B132" t="s">
        <v>100</v>
      </c>
      <c r="C132">
        <v>23</v>
      </c>
      <c r="D132" t="s">
        <v>146</v>
      </c>
      <c r="E132">
        <v>5</v>
      </c>
      <c r="F132" t="s">
        <v>148</v>
      </c>
    </row>
    <row r="133" spans="1:6">
      <c r="A133" t="s">
        <v>9</v>
      </c>
      <c r="B133" t="s">
        <v>100</v>
      </c>
      <c r="C133">
        <v>24</v>
      </c>
      <c r="D133" t="s">
        <v>149</v>
      </c>
      <c r="E133">
        <v>1</v>
      </c>
      <c r="F133" t="s">
        <v>150</v>
      </c>
    </row>
    <row r="134" spans="1:6">
      <c r="A134" t="s">
        <v>9</v>
      </c>
      <c r="B134" t="s">
        <v>100</v>
      </c>
      <c r="C134">
        <v>24</v>
      </c>
      <c r="D134" t="s">
        <v>149</v>
      </c>
      <c r="E134">
        <v>2</v>
      </c>
      <c r="F134" t="s">
        <v>151</v>
      </c>
    </row>
    <row r="135" spans="1:6">
      <c r="A135" t="s">
        <v>9</v>
      </c>
      <c r="B135" t="s">
        <v>100</v>
      </c>
      <c r="C135">
        <v>25</v>
      </c>
      <c r="D135" t="s">
        <v>152</v>
      </c>
      <c r="E135">
        <v>1</v>
      </c>
      <c r="F135" t="s">
        <v>153</v>
      </c>
    </row>
    <row r="136" spans="1:6">
      <c r="A136" t="s">
        <v>9</v>
      </c>
      <c r="B136" t="s">
        <v>100</v>
      </c>
      <c r="C136">
        <v>25</v>
      </c>
      <c r="D136" t="s">
        <v>152</v>
      </c>
      <c r="E136">
        <v>2</v>
      </c>
      <c r="F136" t="s">
        <v>154</v>
      </c>
    </row>
    <row r="137" spans="1:6">
      <c r="A137" t="s">
        <v>9</v>
      </c>
      <c r="B137" t="s">
        <v>100</v>
      </c>
      <c r="C137">
        <v>25</v>
      </c>
      <c r="D137" t="s">
        <v>152</v>
      </c>
      <c r="E137">
        <v>3</v>
      </c>
      <c r="F137" t="s">
        <v>155</v>
      </c>
    </row>
    <row r="138" spans="1:6">
      <c r="A138" t="s">
        <v>9</v>
      </c>
      <c r="B138" t="s">
        <v>100</v>
      </c>
      <c r="C138">
        <v>26</v>
      </c>
      <c r="D138" t="s">
        <v>156</v>
      </c>
      <c r="E138">
        <v>1</v>
      </c>
      <c r="F138" t="s">
        <v>157</v>
      </c>
    </row>
    <row r="139" spans="1:6">
      <c r="A139" t="s">
        <v>9</v>
      </c>
      <c r="B139" t="s">
        <v>100</v>
      </c>
      <c r="C139">
        <v>26</v>
      </c>
      <c r="D139" t="s">
        <v>156</v>
      </c>
      <c r="E139">
        <v>2</v>
      </c>
      <c r="F139" t="s">
        <v>158</v>
      </c>
    </row>
    <row r="140" spans="1:6">
      <c r="A140" t="s">
        <v>9</v>
      </c>
      <c r="B140" t="s">
        <v>100</v>
      </c>
      <c r="C140">
        <v>27</v>
      </c>
      <c r="D140" t="s">
        <v>159</v>
      </c>
      <c r="E140">
        <v>1</v>
      </c>
      <c r="F140" t="s">
        <v>160</v>
      </c>
    </row>
    <row r="141" spans="1:6">
      <c r="A141" t="s">
        <v>9</v>
      </c>
      <c r="B141" t="s">
        <v>100</v>
      </c>
      <c r="C141">
        <v>27</v>
      </c>
      <c r="D141" t="s">
        <v>159</v>
      </c>
      <c r="E141">
        <v>2</v>
      </c>
      <c r="F141" t="s">
        <v>161</v>
      </c>
    </row>
    <row r="142" spans="1:6">
      <c r="A142" t="s">
        <v>9</v>
      </c>
      <c r="B142" t="s">
        <v>100</v>
      </c>
      <c r="C142">
        <v>28</v>
      </c>
      <c r="D142" t="s">
        <v>162</v>
      </c>
      <c r="E142">
        <v>1</v>
      </c>
      <c r="F142" t="s">
        <v>163</v>
      </c>
    </row>
    <row r="143" spans="1:6">
      <c r="A143" t="s">
        <v>9</v>
      </c>
      <c r="B143" t="s">
        <v>100</v>
      </c>
      <c r="C143">
        <v>28</v>
      </c>
      <c r="D143" t="s">
        <v>162</v>
      </c>
      <c r="E143">
        <v>2</v>
      </c>
      <c r="F143" t="s">
        <v>164</v>
      </c>
    </row>
    <row r="144" spans="1:6">
      <c r="A144" t="s">
        <v>9</v>
      </c>
      <c r="B144" t="s">
        <v>100</v>
      </c>
      <c r="C144">
        <v>29</v>
      </c>
      <c r="D144" t="s">
        <v>165</v>
      </c>
      <c r="E144">
        <v>1</v>
      </c>
      <c r="F144" t="s">
        <v>166</v>
      </c>
    </row>
    <row r="145" spans="1:9">
      <c r="A145" t="s">
        <v>9</v>
      </c>
      <c r="B145" t="s">
        <v>100</v>
      </c>
      <c r="C145">
        <v>29</v>
      </c>
      <c r="D145" t="s">
        <v>165</v>
      </c>
      <c r="E145">
        <v>2</v>
      </c>
      <c r="F145" t="s">
        <v>167</v>
      </c>
    </row>
    <row r="146" spans="1:9">
      <c r="A146" t="s">
        <v>9</v>
      </c>
      <c r="B146" t="s">
        <v>100</v>
      </c>
      <c r="C146">
        <v>30</v>
      </c>
      <c r="D146" t="s">
        <v>168</v>
      </c>
      <c r="E146">
        <v>1</v>
      </c>
      <c r="F146" t="s">
        <v>169</v>
      </c>
    </row>
    <row r="147" spans="1:9">
      <c r="A147" t="s">
        <v>9</v>
      </c>
      <c r="B147" t="s">
        <v>100</v>
      </c>
      <c r="C147">
        <v>30</v>
      </c>
      <c r="D147" t="s">
        <v>168</v>
      </c>
      <c r="E147">
        <v>2</v>
      </c>
      <c r="F147" t="s">
        <v>170</v>
      </c>
    </row>
    <row r="148" spans="1:9">
      <c r="A148" t="s">
        <v>9</v>
      </c>
      <c r="B148" t="s">
        <v>171</v>
      </c>
      <c r="C148">
        <v>31</v>
      </c>
      <c r="D148" t="s">
        <v>172</v>
      </c>
      <c r="E148">
        <v>1</v>
      </c>
      <c r="F148" t="s">
        <v>173</v>
      </c>
    </row>
    <row r="149" spans="1:9">
      <c r="A149" t="s">
        <v>9</v>
      </c>
      <c r="B149" t="s">
        <v>171</v>
      </c>
      <c r="C149">
        <v>31</v>
      </c>
      <c r="D149" t="s">
        <v>172</v>
      </c>
      <c r="E149">
        <v>2</v>
      </c>
      <c r="F149" t="s">
        <v>174</v>
      </c>
    </row>
    <row r="150" spans="1:9">
      <c r="A150" t="s">
        <v>9</v>
      </c>
      <c r="B150" t="s">
        <v>171</v>
      </c>
      <c r="C150">
        <v>31</v>
      </c>
      <c r="D150" t="s">
        <v>172</v>
      </c>
      <c r="E150">
        <v>3</v>
      </c>
      <c r="F150" t="s">
        <v>175</v>
      </c>
    </row>
    <row r="151" spans="1:9">
      <c r="A151" t="s">
        <v>9</v>
      </c>
      <c r="B151" t="s">
        <v>171</v>
      </c>
      <c r="C151">
        <v>31</v>
      </c>
      <c r="D151" t="s">
        <v>172</v>
      </c>
      <c r="E151">
        <v>4</v>
      </c>
      <c r="F151" t="s">
        <v>176</v>
      </c>
    </row>
    <row r="152" spans="1:9">
      <c r="A152" t="s">
        <v>9</v>
      </c>
      <c r="B152" t="s">
        <v>171</v>
      </c>
      <c r="C152">
        <v>31</v>
      </c>
      <c r="D152" t="s">
        <v>172</v>
      </c>
      <c r="E152">
        <v>5</v>
      </c>
      <c r="F152" t="s">
        <v>177</v>
      </c>
    </row>
    <row r="153" spans="1:9">
      <c r="A153" t="s">
        <v>9</v>
      </c>
      <c r="B153" t="s">
        <v>171</v>
      </c>
      <c r="C153">
        <v>31</v>
      </c>
      <c r="D153" t="s">
        <v>172</v>
      </c>
      <c r="E153">
        <v>6</v>
      </c>
      <c r="F153" t="s">
        <v>178</v>
      </c>
    </row>
    <row r="154" spans="1:9">
      <c r="A154" t="s">
        <v>9</v>
      </c>
      <c r="B154" t="s">
        <v>171</v>
      </c>
      <c r="C154">
        <v>32</v>
      </c>
      <c r="D154" t="s">
        <v>179</v>
      </c>
      <c r="E154">
        <v>1</v>
      </c>
      <c r="F154" t="s">
        <v>180</v>
      </c>
    </row>
    <row r="155" spans="1:9">
      <c r="A155" t="s">
        <v>9</v>
      </c>
      <c r="B155" t="s">
        <v>171</v>
      </c>
      <c r="C155">
        <v>32</v>
      </c>
      <c r="D155" t="s">
        <v>179</v>
      </c>
      <c r="E155">
        <v>2</v>
      </c>
      <c r="F155" t="s">
        <v>181</v>
      </c>
    </row>
    <row r="156" spans="1:9">
      <c r="A156" t="s">
        <v>9</v>
      </c>
      <c r="B156" t="s">
        <v>171</v>
      </c>
      <c r="C156">
        <v>32</v>
      </c>
      <c r="D156" t="s">
        <v>179</v>
      </c>
      <c r="E156">
        <v>3</v>
      </c>
      <c r="F156" t="s">
        <v>28</v>
      </c>
    </row>
    <row r="157" spans="1:9">
      <c r="A157" t="s">
        <v>182</v>
      </c>
      <c r="B157" t="s">
        <v>10</v>
      </c>
      <c r="C157">
        <v>33</v>
      </c>
      <c r="D157" t="s">
        <v>183</v>
      </c>
      <c r="E157">
        <v>1</v>
      </c>
      <c r="F157" t="s">
        <v>12</v>
      </c>
      <c r="I157">
        <v>1</v>
      </c>
    </row>
    <row r="158" spans="1:9">
      <c r="A158" t="s">
        <v>182</v>
      </c>
      <c r="B158" t="s">
        <v>10</v>
      </c>
      <c r="C158">
        <v>33</v>
      </c>
      <c r="D158" t="s">
        <v>183</v>
      </c>
      <c r="E158">
        <v>2</v>
      </c>
      <c r="F158" t="s">
        <v>14</v>
      </c>
    </row>
    <row r="159" spans="1:9">
      <c r="A159" t="s">
        <v>182</v>
      </c>
      <c r="B159" t="s">
        <v>10</v>
      </c>
      <c r="C159">
        <v>33</v>
      </c>
      <c r="D159" t="s">
        <v>183</v>
      </c>
      <c r="E159">
        <v>3</v>
      </c>
      <c r="F159" t="s">
        <v>16</v>
      </c>
      <c r="I159">
        <v>1</v>
      </c>
    </row>
    <row r="160" spans="1:9">
      <c r="A160" t="s">
        <v>182</v>
      </c>
      <c r="B160" t="s">
        <v>10</v>
      </c>
      <c r="C160">
        <v>33</v>
      </c>
      <c r="D160" t="s">
        <v>183</v>
      </c>
      <c r="E160">
        <v>4</v>
      </c>
      <c r="F160" t="s">
        <v>17</v>
      </c>
    </row>
    <row r="161" spans="1:9">
      <c r="A161" t="s">
        <v>182</v>
      </c>
      <c r="B161" t="s">
        <v>10</v>
      </c>
      <c r="C161">
        <v>33</v>
      </c>
      <c r="D161" t="s">
        <v>183</v>
      </c>
      <c r="E161">
        <v>5</v>
      </c>
      <c r="F161" t="s">
        <v>18</v>
      </c>
      <c r="I161">
        <v>1</v>
      </c>
    </row>
    <row r="162" spans="1:9">
      <c r="A162" t="s">
        <v>182</v>
      </c>
      <c r="B162" t="s">
        <v>10</v>
      </c>
      <c r="C162">
        <v>33</v>
      </c>
      <c r="D162" t="s">
        <v>183</v>
      </c>
      <c r="E162">
        <v>6</v>
      </c>
      <c r="F162" t="s">
        <v>19</v>
      </c>
    </row>
    <row r="163" spans="1:9">
      <c r="A163" t="s">
        <v>182</v>
      </c>
      <c r="B163" t="s">
        <v>10</v>
      </c>
      <c r="C163">
        <v>33</v>
      </c>
      <c r="D163" t="s">
        <v>183</v>
      </c>
      <c r="E163">
        <v>7</v>
      </c>
      <c r="F163" t="s">
        <v>20</v>
      </c>
      <c r="I163">
        <v>1</v>
      </c>
    </row>
    <row r="164" spans="1:9">
      <c r="A164" t="s">
        <v>182</v>
      </c>
      <c r="B164" t="s">
        <v>10</v>
      </c>
      <c r="C164">
        <v>33</v>
      </c>
      <c r="D164" t="s">
        <v>183</v>
      </c>
      <c r="E164">
        <v>8</v>
      </c>
      <c r="F164" t="s">
        <v>21</v>
      </c>
    </row>
    <row r="165" spans="1:9">
      <c r="A165" t="s">
        <v>182</v>
      </c>
      <c r="B165" t="s">
        <v>10</v>
      </c>
      <c r="C165">
        <v>33</v>
      </c>
      <c r="D165" t="s">
        <v>183</v>
      </c>
      <c r="E165">
        <v>9</v>
      </c>
      <c r="F165" t="s">
        <v>22</v>
      </c>
    </row>
    <row r="166" spans="1:9">
      <c r="A166" t="s">
        <v>182</v>
      </c>
      <c r="B166" t="s">
        <v>10</v>
      </c>
      <c r="C166">
        <v>33</v>
      </c>
      <c r="D166" t="s">
        <v>183</v>
      </c>
      <c r="E166">
        <v>10</v>
      </c>
      <c r="F166" t="s">
        <v>23</v>
      </c>
      <c r="I166">
        <v>1</v>
      </c>
    </row>
    <row r="167" spans="1:9">
      <c r="A167" t="s">
        <v>182</v>
      </c>
      <c r="B167" t="s">
        <v>10</v>
      </c>
      <c r="C167">
        <v>33</v>
      </c>
      <c r="D167" t="s">
        <v>183</v>
      </c>
      <c r="E167">
        <v>11</v>
      </c>
      <c r="F167" t="s">
        <v>184</v>
      </c>
    </row>
    <row r="168" spans="1:9">
      <c r="A168" t="s">
        <v>182</v>
      </c>
      <c r="B168" t="s">
        <v>10</v>
      </c>
      <c r="C168">
        <v>34</v>
      </c>
      <c r="D168" t="s">
        <v>185</v>
      </c>
      <c r="E168">
        <v>1</v>
      </c>
      <c r="F168" t="s">
        <v>26</v>
      </c>
    </row>
    <row r="169" spans="1:9">
      <c r="A169" t="s">
        <v>182</v>
      </c>
      <c r="B169" t="s">
        <v>10</v>
      </c>
      <c r="C169">
        <v>34</v>
      </c>
      <c r="D169" t="s">
        <v>185</v>
      </c>
      <c r="E169">
        <v>2</v>
      </c>
      <c r="F169" t="s">
        <v>27</v>
      </c>
      <c r="I169">
        <v>1</v>
      </c>
    </row>
    <row r="170" spans="1:9">
      <c r="A170" t="s">
        <v>182</v>
      </c>
      <c r="B170" t="s">
        <v>10</v>
      </c>
      <c r="C170">
        <v>34</v>
      </c>
      <c r="D170" t="s">
        <v>185</v>
      </c>
      <c r="E170">
        <v>3</v>
      </c>
      <c r="F170" t="s">
        <v>23</v>
      </c>
      <c r="I170">
        <v>1</v>
      </c>
    </row>
    <row r="171" spans="1:9">
      <c r="A171" t="s">
        <v>182</v>
      </c>
      <c r="B171" t="s">
        <v>10</v>
      </c>
      <c r="C171">
        <v>34</v>
      </c>
      <c r="D171" t="s">
        <v>185</v>
      </c>
      <c r="E171">
        <v>4</v>
      </c>
      <c r="F171" t="s">
        <v>28</v>
      </c>
    </row>
    <row r="172" spans="1:9">
      <c r="A172" t="s">
        <v>182</v>
      </c>
      <c r="B172" t="s">
        <v>10</v>
      </c>
      <c r="C172">
        <v>35</v>
      </c>
      <c r="D172" t="s">
        <v>186</v>
      </c>
      <c r="E172">
        <v>1</v>
      </c>
      <c r="F172" t="s">
        <v>30</v>
      </c>
      <c r="I172">
        <v>1</v>
      </c>
    </row>
    <row r="173" spans="1:9">
      <c r="A173" t="s">
        <v>182</v>
      </c>
      <c r="B173" t="s">
        <v>10</v>
      </c>
      <c r="C173">
        <v>35</v>
      </c>
      <c r="D173" t="s">
        <v>186</v>
      </c>
      <c r="E173">
        <v>2</v>
      </c>
      <c r="F173" t="s">
        <v>31</v>
      </c>
      <c r="I173">
        <v>1</v>
      </c>
    </row>
    <row r="174" spans="1:9">
      <c r="A174" t="s">
        <v>182</v>
      </c>
      <c r="B174" t="s">
        <v>10</v>
      </c>
      <c r="C174">
        <v>35</v>
      </c>
      <c r="D174" t="s">
        <v>186</v>
      </c>
      <c r="E174">
        <v>3</v>
      </c>
      <c r="F174" t="s">
        <v>32</v>
      </c>
    </row>
    <row r="175" spans="1:9">
      <c r="A175" t="s">
        <v>182</v>
      </c>
      <c r="B175" t="s">
        <v>10</v>
      </c>
      <c r="C175">
        <v>36</v>
      </c>
      <c r="D175" t="s">
        <v>187</v>
      </c>
      <c r="E175">
        <v>1</v>
      </c>
      <c r="F175" t="s">
        <v>34</v>
      </c>
      <c r="I175">
        <v>1</v>
      </c>
    </row>
    <row r="176" spans="1:9">
      <c r="A176" t="s">
        <v>182</v>
      </c>
      <c r="B176" t="s">
        <v>10</v>
      </c>
      <c r="C176">
        <v>36</v>
      </c>
      <c r="D176" t="s">
        <v>187</v>
      </c>
      <c r="E176">
        <v>2</v>
      </c>
      <c r="F176" t="s">
        <v>35</v>
      </c>
    </row>
    <row r="177" spans="1:9">
      <c r="A177" t="s">
        <v>182</v>
      </c>
      <c r="B177" t="s">
        <v>10</v>
      </c>
      <c r="C177">
        <v>36</v>
      </c>
      <c r="D177" t="s">
        <v>187</v>
      </c>
      <c r="E177">
        <v>3</v>
      </c>
      <c r="F177" t="s">
        <v>36</v>
      </c>
    </row>
    <row r="178" spans="1:9">
      <c r="A178" t="s">
        <v>182</v>
      </c>
      <c r="B178" t="s">
        <v>10</v>
      </c>
      <c r="C178">
        <v>36</v>
      </c>
      <c r="D178" t="s">
        <v>187</v>
      </c>
      <c r="E178">
        <v>4</v>
      </c>
      <c r="F178" t="s">
        <v>37</v>
      </c>
    </row>
    <row r="179" spans="1:9">
      <c r="A179" t="s">
        <v>182</v>
      </c>
      <c r="B179" t="s">
        <v>10</v>
      </c>
      <c r="C179">
        <v>36</v>
      </c>
      <c r="D179" t="s">
        <v>187</v>
      </c>
      <c r="E179">
        <v>5</v>
      </c>
      <c r="F179" t="s">
        <v>38</v>
      </c>
    </row>
    <row r="180" spans="1:9">
      <c r="A180" t="s">
        <v>182</v>
      </c>
      <c r="B180" t="s">
        <v>10</v>
      </c>
      <c r="C180">
        <v>36</v>
      </c>
      <c r="D180" t="s">
        <v>187</v>
      </c>
      <c r="E180">
        <v>6</v>
      </c>
      <c r="F180" t="s">
        <v>39</v>
      </c>
      <c r="I180">
        <v>1</v>
      </c>
    </row>
    <row r="181" spans="1:9">
      <c r="A181" t="s">
        <v>182</v>
      </c>
      <c r="B181" t="s">
        <v>10</v>
      </c>
      <c r="C181">
        <v>36</v>
      </c>
      <c r="D181" t="s">
        <v>187</v>
      </c>
      <c r="E181">
        <v>7</v>
      </c>
      <c r="F181" t="s">
        <v>40</v>
      </c>
    </row>
    <row r="182" spans="1:9">
      <c r="A182" t="s">
        <v>182</v>
      </c>
      <c r="B182" t="s">
        <v>10</v>
      </c>
      <c r="C182">
        <v>37</v>
      </c>
      <c r="D182" t="s">
        <v>188</v>
      </c>
      <c r="E182">
        <v>1</v>
      </c>
      <c r="F182" t="s">
        <v>189</v>
      </c>
      <c r="I182">
        <v>1</v>
      </c>
    </row>
    <row r="183" spans="1:9">
      <c r="A183" t="s">
        <v>182</v>
      </c>
      <c r="B183" t="s">
        <v>10</v>
      </c>
      <c r="C183">
        <v>37</v>
      </c>
      <c r="D183" t="s">
        <v>188</v>
      </c>
      <c r="E183">
        <v>2</v>
      </c>
      <c r="F183" t="s">
        <v>43</v>
      </c>
    </row>
    <row r="184" spans="1:9">
      <c r="A184" t="s">
        <v>182</v>
      </c>
      <c r="B184" t="s">
        <v>10</v>
      </c>
      <c r="C184">
        <v>37</v>
      </c>
      <c r="D184" t="s">
        <v>188</v>
      </c>
      <c r="E184">
        <v>3</v>
      </c>
      <c r="F184" t="s">
        <v>44</v>
      </c>
    </row>
    <row r="185" spans="1:9">
      <c r="A185" t="s">
        <v>182</v>
      </c>
      <c r="B185" t="s">
        <v>10</v>
      </c>
      <c r="C185">
        <v>37</v>
      </c>
      <c r="D185" t="s">
        <v>188</v>
      </c>
      <c r="E185">
        <v>4</v>
      </c>
      <c r="F185" t="s">
        <v>45</v>
      </c>
    </row>
    <row r="186" spans="1:9">
      <c r="A186" t="s">
        <v>182</v>
      </c>
      <c r="B186" t="s">
        <v>10</v>
      </c>
      <c r="C186">
        <v>37</v>
      </c>
      <c r="D186" t="s">
        <v>188</v>
      </c>
      <c r="E186">
        <v>5</v>
      </c>
      <c r="F186" t="s">
        <v>190</v>
      </c>
      <c r="I186">
        <v>1</v>
      </c>
    </row>
    <row r="187" spans="1:9">
      <c r="A187" t="s">
        <v>182</v>
      </c>
      <c r="B187" t="s">
        <v>10</v>
      </c>
      <c r="C187">
        <v>37</v>
      </c>
      <c r="D187" t="s">
        <v>188</v>
      </c>
      <c r="E187">
        <v>6</v>
      </c>
      <c r="F187" t="s">
        <v>47</v>
      </c>
    </row>
    <row r="188" spans="1:9">
      <c r="A188" t="s">
        <v>182</v>
      </c>
      <c r="B188" t="s">
        <v>10</v>
      </c>
      <c r="C188">
        <v>37</v>
      </c>
      <c r="D188" t="s">
        <v>188</v>
      </c>
      <c r="E188">
        <v>7</v>
      </c>
      <c r="F188" t="s">
        <v>48</v>
      </c>
    </row>
    <row r="189" spans="1:9">
      <c r="A189" t="s">
        <v>182</v>
      </c>
      <c r="B189" t="s">
        <v>10</v>
      </c>
      <c r="C189">
        <v>38</v>
      </c>
      <c r="D189" t="s">
        <v>191</v>
      </c>
      <c r="E189">
        <v>1</v>
      </c>
      <c r="F189" t="s">
        <v>192</v>
      </c>
      <c r="I189">
        <v>1</v>
      </c>
    </row>
    <row r="190" spans="1:9">
      <c r="A190" t="s">
        <v>182</v>
      </c>
      <c r="B190" t="s">
        <v>10</v>
      </c>
      <c r="C190">
        <v>38</v>
      </c>
      <c r="D190" t="s">
        <v>191</v>
      </c>
      <c r="E190">
        <v>2</v>
      </c>
      <c r="F190" t="s">
        <v>56</v>
      </c>
    </row>
    <row r="191" spans="1:9">
      <c r="A191" t="s">
        <v>182</v>
      </c>
      <c r="B191" t="s">
        <v>10</v>
      </c>
      <c r="C191">
        <v>38</v>
      </c>
      <c r="D191" t="s">
        <v>191</v>
      </c>
      <c r="E191">
        <v>3</v>
      </c>
      <c r="F191" t="s">
        <v>57</v>
      </c>
    </row>
    <row r="192" spans="1:9">
      <c r="A192" t="s">
        <v>182</v>
      </c>
      <c r="B192" t="s">
        <v>10</v>
      </c>
      <c r="C192">
        <v>38</v>
      </c>
      <c r="D192" t="s">
        <v>191</v>
      </c>
      <c r="E192">
        <v>4</v>
      </c>
      <c r="F192" t="s">
        <v>58</v>
      </c>
    </row>
    <row r="193" spans="1:9">
      <c r="A193" t="s">
        <v>182</v>
      </c>
      <c r="B193" t="s">
        <v>10</v>
      </c>
      <c r="C193">
        <v>38</v>
      </c>
      <c r="D193" t="s">
        <v>191</v>
      </c>
      <c r="E193">
        <v>5</v>
      </c>
      <c r="F193" t="s">
        <v>59</v>
      </c>
    </row>
    <row r="194" spans="1:9">
      <c r="A194" t="s">
        <v>182</v>
      </c>
      <c r="B194" t="s">
        <v>10</v>
      </c>
      <c r="C194">
        <v>39</v>
      </c>
      <c r="D194" t="s">
        <v>193</v>
      </c>
      <c r="E194">
        <v>1</v>
      </c>
      <c r="F194" t="s">
        <v>61</v>
      </c>
    </row>
    <row r="195" spans="1:9">
      <c r="A195" t="s">
        <v>182</v>
      </c>
      <c r="B195" t="s">
        <v>10</v>
      </c>
      <c r="C195">
        <v>39</v>
      </c>
      <c r="D195" t="s">
        <v>193</v>
      </c>
      <c r="E195">
        <v>2</v>
      </c>
      <c r="F195" t="s">
        <v>62</v>
      </c>
    </row>
    <row r="196" spans="1:9">
      <c r="A196" t="s">
        <v>182</v>
      </c>
      <c r="B196" t="s">
        <v>10</v>
      </c>
      <c r="C196">
        <v>39</v>
      </c>
      <c r="D196" t="s">
        <v>193</v>
      </c>
      <c r="E196">
        <v>3</v>
      </c>
      <c r="F196" t="s">
        <v>63</v>
      </c>
    </row>
    <row r="197" spans="1:9">
      <c r="A197" t="s">
        <v>182</v>
      </c>
      <c r="B197" t="s">
        <v>10</v>
      </c>
      <c r="C197">
        <v>39</v>
      </c>
      <c r="D197" t="s">
        <v>193</v>
      </c>
      <c r="E197">
        <v>4</v>
      </c>
      <c r="F197" t="s">
        <v>64</v>
      </c>
      <c r="I197">
        <v>1</v>
      </c>
    </row>
    <row r="198" spans="1:9">
      <c r="A198" t="s">
        <v>182</v>
      </c>
      <c r="B198" t="s">
        <v>10</v>
      </c>
      <c r="C198">
        <v>39</v>
      </c>
      <c r="D198" t="s">
        <v>193</v>
      </c>
      <c r="E198">
        <v>5</v>
      </c>
      <c r="F198" t="s">
        <v>65</v>
      </c>
    </row>
    <row r="199" spans="1:9">
      <c r="A199" t="s">
        <v>182</v>
      </c>
      <c r="B199" t="s">
        <v>10</v>
      </c>
      <c r="C199">
        <v>39</v>
      </c>
      <c r="D199" t="s">
        <v>193</v>
      </c>
      <c r="E199">
        <v>6</v>
      </c>
      <c r="F199" t="s">
        <v>66</v>
      </c>
      <c r="I199">
        <v>1</v>
      </c>
    </row>
    <row r="200" spans="1:9">
      <c r="A200" t="s">
        <v>182</v>
      </c>
      <c r="B200" t="s">
        <v>67</v>
      </c>
      <c r="C200">
        <v>40</v>
      </c>
      <c r="D200" t="s">
        <v>194</v>
      </c>
      <c r="E200">
        <v>1</v>
      </c>
      <c r="F200" t="s">
        <v>69</v>
      </c>
    </row>
    <row r="201" spans="1:9">
      <c r="A201" t="s">
        <v>182</v>
      </c>
      <c r="B201" t="s">
        <v>67</v>
      </c>
      <c r="C201">
        <v>40</v>
      </c>
      <c r="D201" t="s">
        <v>194</v>
      </c>
      <c r="E201">
        <v>2</v>
      </c>
      <c r="F201" t="s">
        <v>195</v>
      </c>
      <c r="I201">
        <v>1</v>
      </c>
    </row>
    <row r="202" spans="1:9">
      <c r="A202" t="s">
        <v>182</v>
      </c>
      <c r="B202" t="s">
        <v>67</v>
      </c>
      <c r="C202">
        <v>40</v>
      </c>
      <c r="D202" t="s">
        <v>194</v>
      </c>
      <c r="E202">
        <v>3</v>
      </c>
      <c r="F202" t="s">
        <v>70</v>
      </c>
    </row>
    <row r="203" spans="1:9">
      <c r="A203" t="s">
        <v>182</v>
      </c>
      <c r="B203" t="s">
        <v>67</v>
      </c>
      <c r="C203">
        <v>40</v>
      </c>
      <c r="D203" t="s">
        <v>194</v>
      </c>
      <c r="E203">
        <v>4</v>
      </c>
      <c r="F203" t="s">
        <v>71</v>
      </c>
      <c r="I203">
        <v>1</v>
      </c>
    </row>
    <row r="204" spans="1:9">
      <c r="A204" t="s">
        <v>182</v>
      </c>
      <c r="B204" t="s">
        <v>67</v>
      </c>
      <c r="C204">
        <v>40</v>
      </c>
      <c r="D204" t="s">
        <v>194</v>
      </c>
      <c r="E204">
        <v>5</v>
      </c>
      <c r="F204" t="s">
        <v>72</v>
      </c>
    </row>
    <row r="205" spans="1:9">
      <c r="A205" t="s">
        <v>182</v>
      </c>
      <c r="B205" t="s">
        <v>67</v>
      </c>
      <c r="C205">
        <v>40</v>
      </c>
      <c r="D205" t="s">
        <v>194</v>
      </c>
      <c r="E205">
        <v>6</v>
      </c>
      <c r="F205" t="s">
        <v>73</v>
      </c>
    </row>
    <row r="206" spans="1:9">
      <c r="A206" t="s">
        <v>182</v>
      </c>
      <c r="B206" t="s">
        <v>67</v>
      </c>
      <c r="C206">
        <v>40</v>
      </c>
      <c r="D206" t="s">
        <v>194</v>
      </c>
      <c r="E206">
        <v>7</v>
      </c>
      <c r="F206" t="s">
        <v>74</v>
      </c>
    </row>
    <row r="207" spans="1:9">
      <c r="A207" t="s">
        <v>182</v>
      </c>
      <c r="B207" t="s">
        <v>67</v>
      </c>
      <c r="C207">
        <v>40</v>
      </c>
      <c r="D207" t="s">
        <v>194</v>
      </c>
      <c r="E207">
        <v>8</v>
      </c>
      <c r="F207" t="s">
        <v>75</v>
      </c>
    </row>
    <row r="208" spans="1:9">
      <c r="A208" t="s">
        <v>182</v>
      </c>
      <c r="B208" t="s">
        <v>67</v>
      </c>
      <c r="C208">
        <v>40</v>
      </c>
      <c r="D208" t="s">
        <v>194</v>
      </c>
      <c r="E208">
        <v>9</v>
      </c>
      <c r="F208" t="s">
        <v>76</v>
      </c>
      <c r="I208">
        <v>1</v>
      </c>
    </row>
    <row r="209" spans="1:9">
      <c r="A209" t="s">
        <v>182</v>
      </c>
      <c r="B209" t="s">
        <v>67</v>
      </c>
      <c r="C209">
        <v>40</v>
      </c>
      <c r="D209" t="s">
        <v>194</v>
      </c>
      <c r="E209">
        <v>10</v>
      </c>
      <c r="F209" t="s">
        <v>77</v>
      </c>
    </row>
    <row r="210" spans="1:9">
      <c r="A210" t="s">
        <v>182</v>
      </c>
      <c r="B210" t="s">
        <v>67</v>
      </c>
      <c r="C210">
        <v>40</v>
      </c>
      <c r="D210" t="s">
        <v>194</v>
      </c>
      <c r="E210">
        <v>11</v>
      </c>
      <c r="F210" t="s">
        <v>78</v>
      </c>
    </row>
    <row r="211" spans="1:9">
      <c r="A211" t="s">
        <v>182</v>
      </c>
      <c r="B211" t="s">
        <v>67</v>
      </c>
      <c r="C211">
        <v>41</v>
      </c>
      <c r="D211" t="s">
        <v>196</v>
      </c>
      <c r="E211">
        <v>1</v>
      </c>
      <c r="F211" t="s">
        <v>69</v>
      </c>
    </row>
    <row r="212" spans="1:9">
      <c r="A212" t="s">
        <v>182</v>
      </c>
      <c r="B212" t="s">
        <v>67</v>
      </c>
      <c r="C212">
        <v>41</v>
      </c>
      <c r="D212" t="s">
        <v>196</v>
      </c>
      <c r="E212">
        <v>2</v>
      </c>
      <c r="F212" t="s">
        <v>195</v>
      </c>
      <c r="I212">
        <v>1</v>
      </c>
    </row>
    <row r="213" spans="1:9">
      <c r="A213" t="s">
        <v>182</v>
      </c>
      <c r="B213" t="s">
        <v>67</v>
      </c>
      <c r="C213">
        <v>41</v>
      </c>
      <c r="D213" t="s">
        <v>196</v>
      </c>
      <c r="E213">
        <v>3</v>
      </c>
      <c r="F213" t="s">
        <v>71</v>
      </c>
    </row>
    <row r="214" spans="1:9">
      <c r="A214" t="s">
        <v>182</v>
      </c>
      <c r="B214" t="s">
        <v>67</v>
      </c>
      <c r="C214">
        <v>41</v>
      </c>
      <c r="D214" t="s">
        <v>196</v>
      </c>
      <c r="E214">
        <v>4</v>
      </c>
      <c r="F214" t="s">
        <v>80</v>
      </c>
    </row>
    <row r="215" spans="1:9">
      <c r="A215" t="s">
        <v>182</v>
      </c>
      <c r="B215" t="s">
        <v>67</v>
      </c>
      <c r="C215">
        <v>41</v>
      </c>
      <c r="D215" t="s">
        <v>196</v>
      </c>
      <c r="E215">
        <v>5</v>
      </c>
      <c r="F215" t="s">
        <v>81</v>
      </c>
    </row>
    <row r="216" spans="1:9">
      <c r="A216" t="s">
        <v>182</v>
      </c>
      <c r="B216" t="s">
        <v>67</v>
      </c>
      <c r="C216">
        <v>41</v>
      </c>
      <c r="D216" t="s">
        <v>196</v>
      </c>
      <c r="E216">
        <v>6</v>
      </c>
      <c r="F216" t="s">
        <v>82</v>
      </c>
      <c r="I216">
        <v>1</v>
      </c>
    </row>
    <row r="217" spans="1:9">
      <c r="A217" t="s">
        <v>182</v>
      </c>
      <c r="B217" t="s">
        <v>67</v>
      </c>
      <c r="C217">
        <v>41</v>
      </c>
      <c r="D217" t="s">
        <v>196</v>
      </c>
      <c r="E217">
        <v>7</v>
      </c>
      <c r="F217" t="s">
        <v>75</v>
      </c>
    </row>
    <row r="218" spans="1:9">
      <c r="A218" t="s">
        <v>182</v>
      </c>
      <c r="B218" t="s">
        <v>67</v>
      </c>
      <c r="C218">
        <v>41</v>
      </c>
      <c r="D218" t="s">
        <v>196</v>
      </c>
      <c r="E218">
        <v>8</v>
      </c>
      <c r="F218" t="s">
        <v>76</v>
      </c>
      <c r="I218">
        <v>1</v>
      </c>
    </row>
    <row r="219" spans="1:9">
      <c r="A219" t="s">
        <v>182</v>
      </c>
      <c r="B219" t="s">
        <v>67</v>
      </c>
      <c r="C219">
        <v>41</v>
      </c>
      <c r="D219" t="s">
        <v>196</v>
      </c>
      <c r="E219">
        <v>9</v>
      </c>
      <c r="F219" t="s">
        <v>77</v>
      </c>
    </row>
    <row r="220" spans="1:9">
      <c r="A220" t="s">
        <v>182</v>
      </c>
      <c r="B220" t="s">
        <v>67</v>
      </c>
      <c r="C220">
        <v>41</v>
      </c>
      <c r="D220" t="s">
        <v>196</v>
      </c>
      <c r="E220">
        <v>10</v>
      </c>
      <c r="F220" t="s">
        <v>78</v>
      </c>
    </row>
    <row r="221" spans="1:9">
      <c r="A221" t="s">
        <v>182</v>
      </c>
      <c r="B221" t="s">
        <v>67</v>
      </c>
      <c r="C221">
        <v>42</v>
      </c>
      <c r="D221" t="s">
        <v>197</v>
      </c>
      <c r="E221">
        <v>1</v>
      </c>
      <c r="F221" t="s">
        <v>76</v>
      </c>
      <c r="I221">
        <v>1</v>
      </c>
    </row>
    <row r="222" spans="1:9">
      <c r="A222" t="s">
        <v>182</v>
      </c>
      <c r="B222" t="s">
        <v>67</v>
      </c>
      <c r="C222">
        <v>42</v>
      </c>
      <c r="D222" t="s">
        <v>197</v>
      </c>
      <c r="E222">
        <v>2</v>
      </c>
      <c r="F222" t="s">
        <v>84</v>
      </c>
    </row>
    <row r="223" spans="1:9">
      <c r="A223" t="s">
        <v>182</v>
      </c>
      <c r="B223" t="s">
        <v>67</v>
      </c>
      <c r="C223">
        <v>42</v>
      </c>
      <c r="D223" t="s">
        <v>197</v>
      </c>
      <c r="E223">
        <v>3</v>
      </c>
      <c r="F223" t="s">
        <v>198</v>
      </c>
    </row>
    <row r="224" spans="1:9">
      <c r="A224" t="s">
        <v>182</v>
      </c>
      <c r="B224" t="s">
        <v>67</v>
      </c>
      <c r="C224">
        <v>43</v>
      </c>
      <c r="D224" t="s">
        <v>199</v>
      </c>
      <c r="E224">
        <v>1</v>
      </c>
      <c r="F224" t="s">
        <v>87</v>
      </c>
      <c r="I224">
        <v>1</v>
      </c>
    </row>
    <row r="225" spans="1:9">
      <c r="A225" t="s">
        <v>182</v>
      </c>
      <c r="B225" t="s">
        <v>67</v>
      </c>
      <c r="C225">
        <v>43</v>
      </c>
      <c r="D225" t="s">
        <v>199</v>
      </c>
      <c r="E225">
        <v>2</v>
      </c>
      <c r="F225" t="s">
        <v>88</v>
      </c>
      <c r="I225">
        <v>1</v>
      </c>
    </row>
    <row r="226" spans="1:9">
      <c r="A226" t="s">
        <v>182</v>
      </c>
      <c r="B226" t="s">
        <v>67</v>
      </c>
      <c r="C226">
        <v>43</v>
      </c>
      <c r="D226" t="s">
        <v>199</v>
      </c>
      <c r="E226">
        <v>3</v>
      </c>
      <c r="F226" t="s">
        <v>89</v>
      </c>
    </row>
    <row r="227" spans="1:9">
      <c r="A227" t="s">
        <v>182</v>
      </c>
      <c r="B227" t="s">
        <v>67</v>
      </c>
      <c r="C227">
        <v>43</v>
      </c>
      <c r="D227" t="s">
        <v>199</v>
      </c>
      <c r="E227">
        <v>4</v>
      </c>
      <c r="F227" t="s">
        <v>90</v>
      </c>
      <c r="I227">
        <v>1</v>
      </c>
    </row>
    <row r="228" spans="1:9">
      <c r="A228" t="s">
        <v>182</v>
      </c>
      <c r="B228" t="s">
        <v>67</v>
      </c>
      <c r="C228">
        <v>43</v>
      </c>
      <c r="D228" t="s">
        <v>199</v>
      </c>
      <c r="E228">
        <v>5</v>
      </c>
      <c r="F228" t="s">
        <v>91</v>
      </c>
    </row>
    <row r="229" spans="1:9">
      <c r="A229" t="s">
        <v>182</v>
      </c>
      <c r="B229" t="s">
        <v>67</v>
      </c>
      <c r="C229">
        <v>43</v>
      </c>
      <c r="D229" t="s">
        <v>199</v>
      </c>
      <c r="E229">
        <v>6</v>
      </c>
      <c r="F229" t="s">
        <v>92</v>
      </c>
      <c r="I229">
        <v>1</v>
      </c>
    </row>
    <row r="230" spans="1:9">
      <c r="A230" t="s">
        <v>182</v>
      </c>
      <c r="B230" t="s">
        <v>67</v>
      </c>
      <c r="C230">
        <v>44</v>
      </c>
      <c r="D230" t="s">
        <v>200</v>
      </c>
      <c r="E230">
        <v>1</v>
      </c>
      <c r="F230" t="s">
        <v>94</v>
      </c>
      <c r="I230">
        <v>1</v>
      </c>
    </row>
    <row r="231" spans="1:9">
      <c r="A231" t="s">
        <v>182</v>
      </c>
      <c r="B231" t="s">
        <v>67</v>
      </c>
      <c r="C231">
        <v>44</v>
      </c>
      <c r="D231" t="s">
        <v>200</v>
      </c>
      <c r="E231">
        <v>2</v>
      </c>
      <c r="F231" t="s">
        <v>95</v>
      </c>
    </row>
    <row r="232" spans="1:9">
      <c r="A232" t="s">
        <v>182</v>
      </c>
      <c r="B232" t="s">
        <v>67</v>
      </c>
      <c r="C232">
        <v>44</v>
      </c>
      <c r="D232" t="s">
        <v>200</v>
      </c>
      <c r="E232">
        <v>3</v>
      </c>
      <c r="F232" t="s">
        <v>96</v>
      </c>
    </row>
    <row r="233" spans="1:9">
      <c r="A233" t="s">
        <v>182</v>
      </c>
      <c r="B233" t="s">
        <v>67</v>
      </c>
      <c r="C233">
        <v>44</v>
      </c>
      <c r="D233" t="s">
        <v>200</v>
      </c>
      <c r="E233">
        <v>4</v>
      </c>
      <c r="F233" t="s">
        <v>97</v>
      </c>
    </row>
    <row r="234" spans="1:9">
      <c r="A234" t="s">
        <v>182</v>
      </c>
      <c r="B234" t="s">
        <v>67</v>
      </c>
      <c r="C234">
        <v>44</v>
      </c>
      <c r="D234" t="s">
        <v>200</v>
      </c>
      <c r="E234">
        <v>5</v>
      </c>
      <c r="F234" t="s">
        <v>98</v>
      </c>
      <c r="I234">
        <v>1</v>
      </c>
    </row>
    <row r="235" spans="1:9">
      <c r="A235" t="s">
        <v>182</v>
      </c>
      <c r="B235" t="s">
        <v>67</v>
      </c>
      <c r="C235">
        <v>44</v>
      </c>
      <c r="D235" t="s">
        <v>200</v>
      </c>
      <c r="E235">
        <v>6</v>
      </c>
      <c r="F235" t="s">
        <v>99</v>
      </c>
    </row>
    <row r="236" spans="1:9">
      <c r="A236" t="s">
        <v>182</v>
      </c>
      <c r="B236" t="s">
        <v>100</v>
      </c>
      <c r="C236">
        <v>45</v>
      </c>
      <c r="D236" t="s">
        <v>201</v>
      </c>
      <c r="E236">
        <v>1</v>
      </c>
      <c r="F236" t="s">
        <v>102</v>
      </c>
      <c r="I236">
        <v>1</v>
      </c>
    </row>
    <row r="237" spans="1:9">
      <c r="A237" t="s">
        <v>182</v>
      </c>
      <c r="B237" t="s">
        <v>100</v>
      </c>
      <c r="C237">
        <v>45</v>
      </c>
      <c r="D237" t="s">
        <v>201</v>
      </c>
      <c r="E237">
        <v>2</v>
      </c>
      <c r="F237" t="s">
        <v>103</v>
      </c>
    </row>
    <row r="238" spans="1:9">
      <c r="A238" t="s">
        <v>182</v>
      </c>
      <c r="B238" t="s">
        <v>100</v>
      </c>
      <c r="C238">
        <v>46</v>
      </c>
      <c r="D238" t="s">
        <v>202</v>
      </c>
      <c r="E238">
        <v>1</v>
      </c>
      <c r="F238" t="s">
        <v>203</v>
      </c>
      <c r="I238">
        <v>1</v>
      </c>
    </row>
    <row r="239" spans="1:9">
      <c r="A239" t="s">
        <v>182</v>
      </c>
      <c r="B239" t="s">
        <v>100</v>
      </c>
      <c r="C239">
        <v>46</v>
      </c>
      <c r="D239" t="s">
        <v>202</v>
      </c>
      <c r="E239">
        <v>2</v>
      </c>
      <c r="F239" t="s">
        <v>106</v>
      </c>
    </row>
    <row r="240" spans="1:9">
      <c r="A240" t="s">
        <v>182</v>
      </c>
      <c r="B240" t="s">
        <v>100</v>
      </c>
      <c r="C240">
        <v>46</v>
      </c>
      <c r="D240" t="s">
        <v>202</v>
      </c>
      <c r="E240">
        <v>3</v>
      </c>
      <c r="F240" t="s">
        <v>107</v>
      </c>
    </row>
    <row r="241" spans="1:9">
      <c r="A241" t="s">
        <v>182</v>
      </c>
      <c r="B241" t="s">
        <v>100</v>
      </c>
      <c r="C241">
        <v>46</v>
      </c>
      <c r="D241" t="s">
        <v>202</v>
      </c>
      <c r="E241">
        <v>4</v>
      </c>
      <c r="F241" t="s">
        <v>204</v>
      </c>
    </row>
    <row r="242" spans="1:9">
      <c r="A242" t="s">
        <v>182</v>
      </c>
      <c r="B242" t="s">
        <v>100</v>
      </c>
      <c r="C242">
        <v>46</v>
      </c>
      <c r="D242" t="s">
        <v>202</v>
      </c>
      <c r="E242">
        <v>5</v>
      </c>
      <c r="F242" t="s">
        <v>109</v>
      </c>
      <c r="I242">
        <v>1</v>
      </c>
    </row>
    <row r="243" spans="1:9">
      <c r="A243" t="s">
        <v>182</v>
      </c>
      <c r="B243" t="s">
        <v>100</v>
      </c>
      <c r="C243">
        <v>46</v>
      </c>
      <c r="D243" t="s">
        <v>202</v>
      </c>
      <c r="E243">
        <v>6</v>
      </c>
      <c r="F243" t="s">
        <v>205</v>
      </c>
    </row>
    <row r="244" spans="1:9">
      <c r="A244" t="s">
        <v>182</v>
      </c>
      <c r="B244" t="s">
        <v>100</v>
      </c>
      <c r="C244">
        <v>46</v>
      </c>
      <c r="D244" t="s">
        <v>202</v>
      </c>
      <c r="E244">
        <v>7</v>
      </c>
      <c r="F244" t="s">
        <v>111</v>
      </c>
    </row>
    <row r="245" spans="1:9">
      <c r="A245" t="s">
        <v>182</v>
      </c>
      <c r="B245" t="s">
        <v>100</v>
      </c>
      <c r="C245">
        <v>47</v>
      </c>
      <c r="D245" t="s">
        <v>206</v>
      </c>
      <c r="E245">
        <v>1</v>
      </c>
      <c r="F245" t="s">
        <v>207</v>
      </c>
      <c r="I245">
        <v>1</v>
      </c>
    </row>
    <row r="246" spans="1:9">
      <c r="A246" t="s">
        <v>182</v>
      </c>
      <c r="B246" t="s">
        <v>100</v>
      </c>
      <c r="C246">
        <v>47</v>
      </c>
      <c r="D246" t="s">
        <v>206</v>
      </c>
      <c r="E246">
        <v>2</v>
      </c>
      <c r="F246" t="s">
        <v>114</v>
      </c>
    </row>
    <row r="247" spans="1:9">
      <c r="A247" t="s">
        <v>182</v>
      </c>
      <c r="B247" t="s">
        <v>100</v>
      </c>
      <c r="C247">
        <v>47</v>
      </c>
      <c r="D247" t="s">
        <v>206</v>
      </c>
      <c r="E247">
        <v>3</v>
      </c>
      <c r="F247" t="s">
        <v>115</v>
      </c>
    </row>
    <row r="248" spans="1:9">
      <c r="A248" t="s">
        <v>182</v>
      </c>
      <c r="B248" t="s">
        <v>100</v>
      </c>
      <c r="C248">
        <v>47</v>
      </c>
      <c r="D248" t="s">
        <v>206</v>
      </c>
      <c r="E248">
        <v>4</v>
      </c>
      <c r="F248" t="s">
        <v>109</v>
      </c>
      <c r="I248">
        <v>1</v>
      </c>
    </row>
    <row r="249" spans="1:9">
      <c r="A249" t="s">
        <v>182</v>
      </c>
      <c r="B249" t="s">
        <v>100</v>
      </c>
      <c r="C249">
        <v>47</v>
      </c>
      <c r="D249" t="s">
        <v>206</v>
      </c>
      <c r="E249">
        <v>5</v>
      </c>
      <c r="F249" t="s">
        <v>208</v>
      </c>
    </row>
    <row r="250" spans="1:9">
      <c r="A250" t="s">
        <v>182</v>
      </c>
      <c r="B250" t="s">
        <v>100</v>
      </c>
      <c r="C250">
        <v>47</v>
      </c>
      <c r="D250" t="s">
        <v>206</v>
      </c>
      <c r="E250">
        <v>6</v>
      </c>
      <c r="F250" t="s">
        <v>111</v>
      </c>
    </row>
    <row r="251" spans="1:9">
      <c r="A251" t="s">
        <v>182</v>
      </c>
      <c r="B251" t="s">
        <v>100</v>
      </c>
      <c r="C251">
        <v>48</v>
      </c>
      <c r="D251" t="s">
        <v>209</v>
      </c>
      <c r="E251">
        <v>1</v>
      </c>
      <c r="F251" t="s">
        <v>118</v>
      </c>
      <c r="I251">
        <v>1</v>
      </c>
    </row>
    <row r="252" spans="1:9">
      <c r="A252" t="s">
        <v>182</v>
      </c>
      <c r="B252" t="s">
        <v>100</v>
      </c>
      <c r="C252">
        <v>48</v>
      </c>
      <c r="D252" t="s">
        <v>209</v>
      </c>
      <c r="E252">
        <v>2</v>
      </c>
      <c r="F252" t="s">
        <v>114</v>
      </c>
    </row>
    <row r="253" spans="1:9">
      <c r="A253" t="s">
        <v>182</v>
      </c>
      <c r="B253" t="s">
        <v>100</v>
      </c>
      <c r="C253">
        <v>48</v>
      </c>
      <c r="D253" t="s">
        <v>209</v>
      </c>
      <c r="E253">
        <v>3</v>
      </c>
      <c r="F253" t="s">
        <v>119</v>
      </c>
      <c r="I253">
        <v>1</v>
      </c>
    </row>
    <row r="254" spans="1:9">
      <c r="A254" t="s">
        <v>182</v>
      </c>
      <c r="B254" t="s">
        <v>100</v>
      </c>
      <c r="C254">
        <v>48</v>
      </c>
      <c r="D254" t="s">
        <v>209</v>
      </c>
      <c r="E254">
        <v>4</v>
      </c>
      <c r="F254" t="s">
        <v>120</v>
      </c>
    </row>
    <row r="255" spans="1:9">
      <c r="A255" t="s">
        <v>182</v>
      </c>
      <c r="B255" t="s">
        <v>100</v>
      </c>
      <c r="C255">
        <v>48</v>
      </c>
      <c r="D255" t="s">
        <v>209</v>
      </c>
      <c r="E255">
        <v>5</v>
      </c>
      <c r="F255" t="s">
        <v>210</v>
      </c>
    </row>
    <row r="256" spans="1:9">
      <c r="A256" t="s">
        <v>182</v>
      </c>
      <c r="B256" t="s">
        <v>100</v>
      </c>
      <c r="C256">
        <v>49</v>
      </c>
      <c r="D256" t="s">
        <v>211</v>
      </c>
      <c r="E256">
        <v>1</v>
      </c>
      <c r="F256" t="s">
        <v>212</v>
      </c>
      <c r="I256">
        <v>1</v>
      </c>
    </row>
    <row r="257" spans="1:9">
      <c r="A257" t="s">
        <v>182</v>
      </c>
      <c r="B257" t="s">
        <v>100</v>
      </c>
      <c r="C257">
        <v>49</v>
      </c>
      <c r="D257" t="s">
        <v>211</v>
      </c>
      <c r="E257">
        <v>2</v>
      </c>
      <c r="F257" t="s">
        <v>114</v>
      </c>
    </row>
    <row r="258" spans="1:9">
      <c r="A258" t="s">
        <v>182</v>
      </c>
      <c r="B258" t="s">
        <v>100</v>
      </c>
      <c r="C258">
        <v>49</v>
      </c>
      <c r="D258" t="s">
        <v>211</v>
      </c>
      <c r="E258">
        <v>3</v>
      </c>
      <c r="F258" t="s">
        <v>115</v>
      </c>
    </row>
    <row r="259" spans="1:9">
      <c r="A259" t="s">
        <v>182</v>
      </c>
      <c r="B259" t="s">
        <v>100</v>
      </c>
      <c r="C259">
        <v>49</v>
      </c>
      <c r="D259" t="s">
        <v>211</v>
      </c>
      <c r="E259">
        <v>4</v>
      </c>
      <c r="F259" t="s">
        <v>119</v>
      </c>
      <c r="I259">
        <v>1</v>
      </c>
    </row>
    <row r="260" spans="1:9">
      <c r="A260" t="s">
        <v>182</v>
      </c>
      <c r="B260" t="s">
        <v>100</v>
      </c>
      <c r="C260">
        <v>49</v>
      </c>
      <c r="D260" t="s">
        <v>211</v>
      </c>
      <c r="E260">
        <v>5</v>
      </c>
      <c r="F260" t="s">
        <v>120</v>
      </c>
    </row>
    <row r="261" spans="1:9">
      <c r="A261" t="s">
        <v>182</v>
      </c>
      <c r="B261" t="s">
        <v>100</v>
      </c>
      <c r="C261">
        <v>49</v>
      </c>
      <c r="D261" t="s">
        <v>211</v>
      </c>
      <c r="E261">
        <v>6</v>
      </c>
      <c r="F261" t="s">
        <v>111</v>
      </c>
    </row>
    <row r="262" spans="1:9">
      <c r="A262" t="s">
        <v>182</v>
      </c>
      <c r="B262" t="s">
        <v>100</v>
      </c>
      <c r="C262">
        <v>50</v>
      </c>
      <c r="D262" t="s">
        <v>213</v>
      </c>
      <c r="E262">
        <v>1</v>
      </c>
      <c r="F262" t="s">
        <v>214</v>
      </c>
      <c r="I262">
        <v>1</v>
      </c>
    </row>
    <row r="263" spans="1:9">
      <c r="A263" t="s">
        <v>182</v>
      </c>
      <c r="B263" t="s">
        <v>100</v>
      </c>
      <c r="C263">
        <v>50</v>
      </c>
      <c r="D263" t="s">
        <v>213</v>
      </c>
      <c r="E263">
        <v>2</v>
      </c>
      <c r="F263" t="s">
        <v>114</v>
      </c>
    </row>
    <row r="264" spans="1:9">
      <c r="A264" t="s">
        <v>182</v>
      </c>
      <c r="B264" t="s">
        <v>100</v>
      </c>
      <c r="C264">
        <v>50</v>
      </c>
      <c r="D264" t="s">
        <v>213</v>
      </c>
      <c r="E264">
        <v>3</v>
      </c>
      <c r="F264" t="s">
        <v>115</v>
      </c>
    </row>
    <row r="265" spans="1:9">
      <c r="A265" t="s">
        <v>182</v>
      </c>
      <c r="B265" t="s">
        <v>100</v>
      </c>
      <c r="C265">
        <v>50</v>
      </c>
      <c r="D265" t="s">
        <v>213</v>
      </c>
      <c r="E265">
        <v>4</v>
      </c>
      <c r="F265" t="s">
        <v>119</v>
      </c>
      <c r="I265">
        <v>1</v>
      </c>
    </row>
    <row r="266" spans="1:9">
      <c r="A266" t="s">
        <v>182</v>
      </c>
      <c r="B266" t="s">
        <v>100</v>
      </c>
      <c r="C266">
        <v>50</v>
      </c>
      <c r="D266" t="s">
        <v>213</v>
      </c>
      <c r="E266">
        <v>5</v>
      </c>
      <c r="F266" t="s">
        <v>120</v>
      </c>
    </row>
    <row r="267" spans="1:9">
      <c r="A267" t="s">
        <v>182</v>
      </c>
      <c r="B267" t="s">
        <v>100</v>
      </c>
      <c r="C267">
        <v>50</v>
      </c>
      <c r="D267" t="s">
        <v>213</v>
      </c>
      <c r="E267">
        <v>6</v>
      </c>
      <c r="F267" t="s">
        <v>111</v>
      </c>
    </row>
    <row r="268" spans="1:9">
      <c r="A268" t="s">
        <v>182</v>
      </c>
      <c r="B268" t="s">
        <v>100</v>
      </c>
      <c r="C268">
        <v>51</v>
      </c>
      <c r="D268" t="s">
        <v>215</v>
      </c>
      <c r="E268">
        <v>1</v>
      </c>
      <c r="F268" t="s">
        <v>130</v>
      </c>
      <c r="I268">
        <v>1</v>
      </c>
    </row>
    <row r="269" spans="1:9">
      <c r="A269" t="s">
        <v>182</v>
      </c>
      <c r="B269" t="s">
        <v>100</v>
      </c>
      <c r="C269">
        <v>51</v>
      </c>
      <c r="D269" t="s">
        <v>215</v>
      </c>
      <c r="E269">
        <v>2</v>
      </c>
      <c r="F269" t="s">
        <v>131</v>
      </c>
      <c r="I269">
        <v>1</v>
      </c>
    </row>
    <row r="270" spans="1:9">
      <c r="A270" t="s">
        <v>182</v>
      </c>
      <c r="B270" t="s">
        <v>100</v>
      </c>
      <c r="C270">
        <v>51</v>
      </c>
      <c r="D270" t="s">
        <v>215</v>
      </c>
      <c r="E270">
        <v>3</v>
      </c>
      <c r="F270" t="s">
        <v>132</v>
      </c>
    </row>
    <row r="271" spans="1:9">
      <c r="A271" t="s">
        <v>182</v>
      </c>
      <c r="B271" t="s">
        <v>100</v>
      </c>
      <c r="C271">
        <v>51</v>
      </c>
      <c r="D271" t="s">
        <v>215</v>
      </c>
      <c r="E271">
        <v>4</v>
      </c>
      <c r="F271" t="s">
        <v>133</v>
      </c>
    </row>
    <row r="272" spans="1:9">
      <c r="A272" t="s">
        <v>182</v>
      </c>
      <c r="B272" t="s">
        <v>100</v>
      </c>
      <c r="C272">
        <v>52</v>
      </c>
      <c r="D272" t="s">
        <v>216</v>
      </c>
      <c r="E272">
        <v>1</v>
      </c>
      <c r="F272" t="s">
        <v>135</v>
      </c>
    </row>
    <row r="273" spans="1:9">
      <c r="A273" t="s">
        <v>182</v>
      </c>
      <c r="B273" t="s">
        <v>100</v>
      </c>
      <c r="C273">
        <v>52</v>
      </c>
      <c r="D273" t="s">
        <v>216</v>
      </c>
      <c r="E273">
        <v>2</v>
      </c>
      <c r="F273" t="s">
        <v>136</v>
      </c>
    </row>
    <row r="274" spans="1:9">
      <c r="A274" t="s">
        <v>182</v>
      </c>
      <c r="B274" t="s">
        <v>100</v>
      </c>
      <c r="C274">
        <v>52</v>
      </c>
      <c r="D274" t="s">
        <v>216</v>
      </c>
      <c r="E274">
        <v>3</v>
      </c>
      <c r="F274" t="s">
        <v>137</v>
      </c>
    </row>
    <row r="275" spans="1:9">
      <c r="A275" t="s">
        <v>182</v>
      </c>
      <c r="B275" t="s">
        <v>100</v>
      </c>
      <c r="C275">
        <v>52</v>
      </c>
      <c r="D275" t="s">
        <v>216</v>
      </c>
      <c r="E275">
        <v>4</v>
      </c>
      <c r="F275" t="s">
        <v>138</v>
      </c>
    </row>
    <row r="276" spans="1:9">
      <c r="A276" t="s">
        <v>182</v>
      </c>
      <c r="B276" t="s">
        <v>100</v>
      </c>
      <c r="C276">
        <v>52</v>
      </c>
      <c r="D276" t="s">
        <v>216</v>
      </c>
      <c r="E276">
        <v>5</v>
      </c>
      <c r="F276" t="s">
        <v>139</v>
      </c>
    </row>
    <row r="277" spans="1:9">
      <c r="A277" t="s">
        <v>182</v>
      </c>
      <c r="B277" t="s">
        <v>100</v>
      </c>
      <c r="C277">
        <v>52</v>
      </c>
      <c r="D277" t="s">
        <v>216</v>
      </c>
      <c r="E277">
        <v>6</v>
      </c>
      <c r="F277" t="s">
        <v>140</v>
      </c>
      <c r="I277">
        <v>1</v>
      </c>
    </row>
    <row r="278" spans="1:9">
      <c r="A278" t="s">
        <v>182</v>
      </c>
      <c r="B278" t="s">
        <v>100</v>
      </c>
      <c r="C278">
        <v>52</v>
      </c>
      <c r="D278" t="s">
        <v>216</v>
      </c>
      <c r="E278">
        <v>7</v>
      </c>
      <c r="F278" t="s">
        <v>141</v>
      </c>
    </row>
    <row r="279" spans="1:9">
      <c r="A279" t="s">
        <v>182</v>
      </c>
      <c r="B279" t="s">
        <v>100</v>
      </c>
      <c r="C279">
        <v>53</v>
      </c>
      <c r="D279" t="s">
        <v>217</v>
      </c>
      <c r="E279">
        <v>1</v>
      </c>
      <c r="F279" t="s">
        <v>143</v>
      </c>
    </row>
    <row r="280" spans="1:9">
      <c r="A280" t="s">
        <v>182</v>
      </c>
      <c r="B280" t="s">
        <v>100</v>
      </c>
      <c r="C280">
        <v>53</v>
      </c>
      <c r="D280" t="s">
        <v>217</v>
      </c>
      <c r="E280">
        <v>2</v>
      </c>
      <c r="F280" t="s">
        <v>144</v>
      </c>
    </row>
    <row r="281" spans="1:9">
      <c r="A281" t="s">
        <v>182</v>
      </c>
      <c r="B281" t="s">
        <v>100</v>
      </c>
      <c r="C281">
        <v>53</v>
      </c>
      <c r="D281" t="s">
        <v>217</v>
      </c>
      <c r="E281">
        <v>3</v>
      </c>
      <c r="F281" t="s">
        <v>145</v>
      </c>
    </row>
    <row r="282" spans="1:9">
      <c r="A282" t="s">
        <v>182</v>
      </c>
      <c r="B282" t="s">
        <v>100</v>
      </c>
      <c r="C282">
        <v>54</v>
      </c>
      <c r="D282" t="s">
        <v>218</v>
      </c>
      <c r="E282">
        <v>1</v>
      </c>
      <c r="F282" t="s">
        <v>219</v>
      </c>
    </row>
    <row r="283" spans="1:9">
      <c r="A283" t="s">
        <v>182</v>
      </c>
      <c r="B283" t="s">
        <v>100</v>
      </c>
      <c r="C283">
        <v>54</v>
      </c>
      <c r="D283" t="s">
        <v>218</v>
      </c>
      <c r="E283">
        <v>2</v>
      </c>
      <c r="F283" t="s">
        <v>220</v>
      </c>
    </row>
    <row r="284" spans="1:9">
      <c r="A284" t="s">
        <v>182</v>
      </c>
      <c r="B284" t="s">
        <v>100</v>
      </c>
      <c r="C284">
        <v>55</v>
      </c>
      <c r="D284" t="s">
        <v>221</v>
      </c>
      <c r="E284">
        <v>1</v>
      </c>
      <c r="F284" t="s">
        <v>222</v>
      </c>
    </row>
    <row r="285" spans="1:9">
      <c r="A285" t="s">
        <v>182</v>
      </c>
      <c r="B285" t="s">
        <v>100</v>
      </c>
      <c r="C285">
        <v>55</v>
      </c>
      <c r="D285" t="s">
        <v>221</v>
      </c>
      <c r="E285">
        <v>2</v>
      </c>
      <c r="F285" t="s">
        <v>223</v>
      </c>
    </row>
    <row r="286" spans="1:9">
      <c r="A286" t="s">
        <v>182</v>
      </c>
      <c r="B286" t="s">
        <v>100</v>
      </c>
      <c r="C286">
        <v>56</v>
      </c>
      <c r="D286" t="s">
        <v>224</v>
      </c>
      <c r="E286">
        <v>1</v>
      </c>
      <c r="F286" t="s">
        <v>225</v>
      </c>
      <c r="I286">
        <v>1</v>
      </c>
    </row>
    <row r="287" spans="1:9">
      <c r="A287" t="s">
        <v>182</v>
      </c>
      <c r="B287" t="s">
        <v>100</v>
      </c>
      <c r="C287">
        <v>56</v>
      </c>
      <c r="D287" t="s">
        <v>224</v>
      </c>
      <c r="E287">
        <v>2</v>
      </c>
      <c r="F287" t="s">
        <v>226</v>
      </c>
      <c r="I287">
        <v>1</v>
      </c>
    </row>
    <row r="288" spans="1:9">
      <c r="A288" t="s">
        <v>182</v>
      </c>
      <c r="B288" t="s">
        <v>100</v>
      </c>
      <c r="C288">
        <v>57</v>
      </c>
      <c r="D288" t="s">
        <v>227</v>
      </c>
      <c r="E288">
        <v>1</v>
      </c>
      <c r="F288" t="s">
        <v>157</v>
      </c>
      <c r="I288">
        <v>1</v>
      </c>
    </row>
    <row r="289" spans="1:9">
      <c r="A289" t="s">
        <v>182</v>
      </c>
      <c r="B289" t="s">
        <v>100</v>
      </c>
      <c r="C289">
        <v>57</v>
      </c>
      <c r="D289" t="s">
        <v>227</v>
      </c>
      <c r="E289">
        <v>2</v>
      </c>
      <c r="F289" t="s">
        <v>158</v>
      </c>
      <c r="I289">
        <v>1</v>
      </c>
    </row>
    <row r="290" spans="1:9">
      <c r="A290" t="s">
        <v>182</v>
      </c>
      <c r="B290" t="s">
        <v>100</v>
      </c>
      <c r="C290">
        <v>58</v>
      </c>
      <c r="D290" t="s">
        <v>228</v>
      </c>
      <c r="E290">
        <v>1</v>
      </c>
      <c r="F290" t="s">
        <v>160</v>
      </c>
      <c r="I290">
        <v>1</v>
      </c>
    </row>
    <row r="291" spans="1:9">
      <c r="A291" t="s">
        <v>182</v>
      </c>
      <c r="B291" t="s">
        <v>100</v>
      </c>
      <c r="C291">
        <v>58</v>
      </c>
      <c r="D291" t="s">
        <v>228</v>
      </c>
      <c r="E291">
        <v>2</v>
      </c>
      <c r="F291" t="s">
        <v>229</v>
      </c>
      <c r="I291">
        <v>1</v>
      </c>
    </row>
    <row r="292" spans="1:9">
      <c r="A292" t="s">
        <v>182</v>
      </c>
      <c r="B292" t="s">
        <v>100</v>
      </c>
      <c r="C292">
        <v>59</v>
      </c>
      <c r="D292" t="s">
        <v>230</v>
      </c>
      <c r="E292">
        <v>1</v>
      </c>
      <c r="F292" t="s">
        <v>231</v>
      </c>
      <c r="I292">
        <v>1</v>
      </c>
    </row>
    <row r="293" spans="1:9">
      <c r="A293" t="s">
        <v>182</v>
      </c>
      <c r="B293" t="s">
        <v>100</v>
      </c>
      <c r="C293">
        <v>59</v>
      </c>
      <c r="D293" t="s">
        <v>230</v>
      </c>
      <c r="E293">
        <v>2</v>
      </c>
      <c r="F293" t="s">
        <v>232</v>
      </c>
      <c r="I293">
        <v>1</v>
      </c>
    </row>
    <row r="294" spans="1:9">
      <c r="A294" t="s">
        <v>182</v>
      </c>
      <c r="B294" t="s">
        <v>100</v>
      </c>
      <c r="C294">
        <v>60</v>
      </c>
      <c r="D294" t="s">
        <v>233</v>
      </c>
      <c r="E294">
        <v>1</v>
      </c>
      <c r="F294" t="s">
        <v>234</v>
      </c>
      <c r="I294">
        <v>1</v>
      </c>
    </row>
    <row r="295" spans="1:9">
      <c r="A295" t="s">
        <v>182</v>
      </c>
      <c r="B295" t="s">
        <v>100</v>
      </c>
      <c r="C295">
        <v>60</v>
      </c>
      <c r="D295" t="s">
        <v>233</v>
      </c>
      <c r="E295">
        <v>2</v>
      </c>
      <c r="F295" t="s">
        <v>167</v>
      </c>
      <c r="I295">
        <v>1</v>
      </c>
    </row>
    <row r="296" spans="1:9">
      <c r="A296" t="s">
        <v>182</v>
      </c>
      <c r="B296" t="s">
        <v>100</v>
      </c>
      <c r="C296">
        <v>61</v>
      </c>
      <c r="D296" t="s">
        <v>235</v>
      </c>
      <c r="E296">
        <v>1</v>
      </c>
      <c r="F296" t="s">
        <v>236</v>
      </c>
      <c r="I296">
        <v>1</v>
      </c>
    </row>
    <row r="297" spans="1:9">
      <c r="A297" t="s">
        <v>182</v>
      </c>
      <c r="B297" t="s">
        <v>100</v>
      </c>
      <c r="C297">
        <v>61</v>
      </c>
      <c r="D297" t="s">
        <v>235</v>
      </c>
      <c r="E297">
        <v>2</v>
      </c>
      <c r="F297" t="s">
        <v>170</v>
      </c>
      <c r="I297">
        <v>1</v>
      </c>
    </row>
    <row r="298" spans="1:9">
      <c r="A298" t="s">
        <v>182</v>
      </c>
      <c r="B298" t="s">
        <v>171</v>
      </c>
      <c r="C298">
        <v>62</v>
      </c>
      <c r="D298" t="s">
        <v>237</v>
      </c>
      <c r="E298">
        <v>1</v>
      </c>
      <c r="F298" t="s">
        <v>173</v>
      </c>
    </row>
    <row r="299" spans="1:9">
      <c r="A299" t="s">
        <v>182</v>
      </c>
      <c r="B299" t="s">
        <v>171</v>
      </c>
      <c r="C299">
        <v>62</v>
      </c>
      <c r="D299" t="s">
        <v>237</v>
      </c>
      <c r="E299">
        <v>2</v>
      </c>
      <c r="F299" t="s">
        <v>174</v>
      </c>
    </row>
    <row r="300" spans="1:9">
      <c r="A300" t="s">
        <v>182</v>
      </c>
      <c r="B300" t="s">
        <v>171</v>
      </c>
      <c r="C300">
        <v>62</v>
      </c>
      <c r="D300" t="s">
        <v>237</v>
      </c>
      <c r="E300">
        <v>3</v>
      </c>
      <c r="F300" t="s">
        <v>175</v>
      </c>
    </row>
    <row r="301" spans="1:9">
      <c r="A301" t="s">
        <v>182</v>
      </c>
      <c r="B301" t="s">
        <v>171</v>
      </c>
      <c r="C301">
        <v>62</v>
      </c>
      <c r="D301" t="s">
        <v>237</v>
      </c>
      <c r="E301">
        <v>4</v>
      </c>
      <c r="F301" t="s">
        <v>176</v>
      </c>
    </row>
    <row r="302" spans="1:9">
      <c r="A302" t="s">
        <v>182</v>
      </c>
      <c r="B302" t="s">
        <v>171</v>
      </c>
      <c r="C302">
        <v>62</v>
      </c>
      <c r="D302" t="s">
        <v>237</v>
      </c>
      <c r="E302">
        <v>5</v>
      </c>
      <c r="F302" t="s">
        <v>177</v>
      </c>
    </row>
    <row r="303" spans="1:9">
      <c r="A303" t="s">
        <v>182</v>
      </c>
      <c r="B303" t="s">
        <v>171</v>
      </c>
      <c r="C303">
        <v>62</v>
      </c>
      <c r="D303" t="s">
        <v>237</v>
      </c>
      <c r="E303">
        <v>6</v>
      </c>
      <c r="F303" t="s">
        <v>178</v>
      </c>
      <c r="I303">
        <v>1</v>
      </c>
    </row>
    <row r="304" spans="1:9">
      <c r="A304" t="s">
        <v>182</v>
      </c>
      <c r="B304" t="s">
        <v>171</v>
      </c>
      <c r="C304">
        <v>63</v>
      </c>
      <c r="D304" t="s">
        <v>238</v>
      </c>
      <c r="E304">
        <v>1</v>
      </c>
      <c r="F304" t="s">
        <v>180</v>
      </c>
    </row>
    <row r="305" spans="1:9">
      <c r="A305" t="s">
        <v>182</v>
      </c>
      <c r="B305" t="s">
        <v>171</v>
      </c>
      <c r="C305">
        <v>63</v>
      </c>
      <c r="D305" t="s">
        <v>238</v>
      </c>
      <c r="E305">
        <v>2</v>
      </c>
      <c r="F305" t="s">
        <v>181</v>
      </c>
      <c r="I305">
        <v>1</v>
      </c>
    </row>
    <row r="306" spans="1:9">
      <c r="A306" t="s">
        <v>182</v>
      </c>
      <c r="B306" t="s">
        <v>171</v>
      </c>
      <c r="C306">
        <v>63</v>
      </c>
      <c r="D306" t="s">
        <v>238</v>
      </c>
      <c r="E306">
        <v>3</v>
      </c>
      <c r="F306" t="s">
        <v>28</v>
      </c>
    </row>
    <row r="307" spans="1:9">
      <c r="A307" t="s">
        <v>239</v>
      </c>
      <c r="B307" t="s">
        <v>10</v>
      </c>
      <c r="C307">
        <v>64</v>
      </c>
      <c r="D307" t="s">
        <v>240</v>
      </c>
      <c r="E307">
        <v>1</v>
      </c>
      <c r="F307" t="s">
        <v>12</v>
      </c>
      <c r="I307">
        <v>1</v>
      </c>
    </row>
    <row r="308" spans="1:9">
      <c r="A308" t="s">
        <v>239</v>
      </c>
      <c r="B308" t="s">
        <v>10</v>
      </c>
      <c r="C308">
        <v>64</v>
      </c>
      <c r="D308" t="s">
        <v>240</v>
      </c>
      <c r="E308">
        <v>2</v>
      </c>
      <c r="F308" t="s">
        <v>14</v>
      </c>
    </row>
    <row r="309" spans="1:9">
      <c r="A309" t="s">
        <v>239</v>
      </c>
      <c r="B309" t="s">
        <v>10</v>
      </c>
      <c r="C309">
        <v>64</v>
      </c>
      <c r="D309" t="s">
        <v>240</v>
      </c>
      <c r="E309">
        <v>3</v>
      </c>
      <c r="F309" t="s">
        <v>16</v>
      </c>
    </row>
    <row r="310" spans="1:9">
      <c r="A310" t="s">
        <v>239</v>
      </c>
      <c r="B310" t="s">
        <v>10</v>
      </c>
      <c r="C310">
        <v>64</v>
      </c>
      <c r="D310" t="s">
        <v>240</v>
      </c>
      <c r="E310">
        <v>4</v>
      </c>
      <c r="F310" t="s">
        <v>17</v>
      </c>
    </row>
    <row r="311" spans="1:9">
      <c r="A311" t="s">
        <v>239</v>
      </c>
      <c r="B311" t="s">
        <v>10</v>
      </c>
      <c r="C311">
        <v>64</v>
      </c>
      <c r="D311" t="s">
        <v>240</v>
      </c>
      <c r="E311">
        <v>5</v>
      </c>
      <c r="F311" t="s">
        <v>18</v>
      </c>
      <c r="I311">
        <v>1</v>
      </c>
    </row>
    <row r="312" spans="1:9">
      <c r="A312" t="s">
        <v>239</v>
      </c>
      <c r="B312" t="s">
        <v>10</v>
      </c>
      <c r="C312">
        <v>64</v>
      </c>
      <c r="D312" t="s">
        <v>240</v>
      </c>
      <c r="E312">
        <v>6</v>
      </c>
      <c r="F312" t="s">
        <v>19</v>
      </c>
    </row>
    <row r="313" spans="1:9">
      <c r="A313" t="s">
        <v>239</v>
      </c>
      <c r="B313" t="s">
        <v>10</v>
      </c>
      <c r="C313">
        <v>64</v>
      </c>
      <c r="D313" t="s">
        <v>240</v>
      </c>
      <c r="E313">
        <v>7</v>
      </c>
      <c r="F313" t="s">
        <v>20</v>
      </c>
      <c r="I313">
        <v>1</v>
      </c>
    </row>
    <row r="314" spans="1:9">
      <c r="A314" t="s">
        <v>239</v>
      </c>
      <c r="B314" t="s">
        <v>10</v>
      </c>
      <c r="C314">
        <v>64</v>
      </c>
      <c r="D314" t="s">
        <v>240</v>
      </c>
      <c r="E314">
        <v>8</v>
      </c>
      <c r="F314" t="s">
        <v>21</v>
      </c>
    </row>
    <row r="315" spans="1:9">
      <c r="A315" t="s">
        <v>239</v>
      </c>
      <c r="B315" t="s">
        <v>10</v>
      </c>
      <c r="C315">
        <v>64</v>
      </c>
      <c r="D315" t="s">
        <v>240</v>
      </c>
      <c r="E315">
        <v>9</v>
      </c>
      <c r="F315" t="s">
        <v>22</v>
      </c>
    </row>
    <row r="316" spans="1:9">
      <c r="A316" t="s">
        <v>239</v>
      </c>
      <c r="B316" t="s">
        <v>10</v>
      </c>
      <c r="C316">
        <v>64</v>
      </c>
      <c r="D316" t="s">
        <v>240</v>
      </c>
      <c r="E316">
        <v>10</v>
      </c>
      <c r="F316" t="s">
        <v>23</v>
      </c>
      <c r="I316">
        <v>1</v>
      </c>
    </row>
    <row r="317" spans="1:9">
      <c r="A317" t="s">
        <v>239</v>
      </c>
      <c r="B317" t="s">
        <v>10</v>
      </c>
      <c r="C317">
        <v>64</v>
      </c>
      <c r="D317" t="s">
        <v>240</v>
      </c>
      <c r="E317">
        <v>11</v>
      </c>
      <c r="F317" t="s">
        <v>24</v>
      </c>
    </row>
    <row r="318" spans="1:9">
      <c r="A318" t="s">
        <v>239</v>
      </c>
      <c r="B318" t="s">
        <v>10</v>
      </c>
      <c r="C318">
        <v>65</v>
      </c>
      <c r="D318" t="s">
        <v>241</v>
      </c>
      <c r="E318">
        <v>1</v>
      </c>
      <c r="F318" t="s">
        <v>26</v>
      </c>
      <c r="I318">
        <v>1</v>
      </c>
    </row>
    <row r="319" spans="1:9">
      <c r="A319" t="s">
        <v>239</v>
      </c>
      <c r="B319" t="s">
        <v>10</v>
      </c>
      <c r="C319">
        <v>65</v>
      </c>
      <c r="D319" t="s">
        <v>241</v>
      </c>
      <c r="E319">
        <v>2</v>
      </c>
      <c r="F319" t="s">
        <v>27</v>
      </c>
    </row>
    <row r="320" spans="1:9">
      <c r="A320" t="s">
        <v>239</v>
      </c>
      <c r="B320" t="s">
        <v>10</v>
      </c>
      <c r="C320">
        <v>65</v>
      </c>
      <c r="D320" t="s">
        <v>241</v>
      </c>
      <c r="E320">
        <v>3</v>
      </c>
      <c r="F320" t="s">
        <v>23</v>
      </c>
      <c r="I320">
        <v>1</v>
      </c>
    </row>
    <row r="321" spans="1:9">
      <c r="A321" t="s">
        <v>239</v>
      </c>
      <c r="B321" t="s">
        <v>10</v>
      </c>
      <c r="C321">
        <v>65</v>
      </c>
      <c r="D321" t="s">
        <v>241</v>
      </c>
      <c r="E321">
        <v>4</v>
      </c>
      <c r="F321" t="s">
        <v>28</v>
      </c>
    </row>
    <row r="322" spans="1:9">
      <c r="A322" t="s">
        <v>239</v>
      </c>
      <c r="B322" t="s">
        <v>10</v>
      </c>
      <c r="C322">
        <v>66</v>
      </c>
      <c r="D322" t="s">
        <v>242</v>
      </c>
      <c r="E322">
        <v>1</v>
      </c>
      <c r="F322" t="s">
        <v>30</v>
      </c>
      <c r="I322">
        <v>1</v>
      </c>
    </row>
    <row r="323" spans="1:9">
      <c r="A323" t="s">
        <v>239</v>
      </c>
      <c r="B323" t="s">
        <v>10</v>
      </c>
      <c r="C323">
        <v>66</v>
      </c>
      <c r="D323" t="s">
        <v>242</v>
      </c>
      <c r="E323">
        <v>2</v>
      </c>
      <c r="F323" t="s">
        <v>31</v>
      </c>
      <c r="I323">
        <v>1</v>
      </c>
    </row>
    <row r="324" spans="1:9">
      <c r="A324" t="s">
        <v>239</v>
      </c>
      <c r="B324" t="s">
        <v>10</v>
      </c>
      <c r="C324">
        <v>66</v>
      </c>
      <c r="D324" t="s">
        <v>242</v>
      </c>
      <c r="E324">
        <v>3</v>
      </c>
      <c r="F324" t="s">
        <v>32</v>
      </c>
    </row>
    <row r="325" spans="1:9">
      <c r="A325" t="s">
        <v>239</v>
      </c>
      <c r="B325" t="s">
        <v>10</v>
      </c>
      <c r="C325">
        <v>67</v>
      </c>
      <c r="D325" t="s">
        <v>243</v>
      </c>
      <c r="E325">
        <v>1</v>
      </c>
      <c r="F325" t="s">
        <v>34</v>
      </c>
      <c r="I325">
        <v>1</v>
      </c>
    </row>
    <row r="326" spans="1:9">
      <c r="A326" t="s">
        <v>239</v>
      </c>
      <c r="B326" t="s">
        <v>10</v>
      </c>
      <c r="C326">
        <v>67</v>
      </c>
      <c r="D326" t="s">
        <v>243</v>
      </c>
      <c r="E326">
        <v>2</v>
      </c>
      <c r="F326" t="s">
        <v>35</v>
      </c>
    </row>
    <row r="327" spans="1:9">
      <c r="A327" t="s">
        <v>239</v>
      </c>
      <c r="B327" t="s">
        <v>10</v>
      </c>
      <c r="C327">
        <v>67</v>
      </c>
      <c r="D327" t="s">
        <v>243</v>
      </c>
      <c r="E327">
        <v>3</v>
      </c>
      <c r="F327" t="s">
        <v>36</v>
      </c>
    </row>
    <row r="328" spans="1:9">
      <c r="A328" t="s">
        <v>239</v>
      </c>
      <c r="B328" t="s">
        <v>10</v>
      </c>
      <c r="C328">
        <v>67</v>
      </c>
      <c r="D328" t="s">
        <v>243</v>
      </c>
      <c r="E328">
        <v>4</v>
      </c>
      <c r="F328" t="s">
        <v>37</v>
      </c>
    </row>
    <row r="329" spans="1:9">
      <c r="A329" t="s">
        <v>239</v>
      </c>
      <c r="B329" t="s">
        <v>10</v>
      </c>
      <c r="C329">
        <v>67</v>
      </c>
      <c r="D329" t="s">
        <v>243</v>
      </c>
      <c r="E329">
        <v>5</v>
      </c>
      <c r="F329" t="s">
        <v>38</v>
      </c>
    </row>
    <row r="330" spans="1:9">
      <c r="A330" t="s">
        <v>239</v>
      </c>
      <c r="B330" t="s">
        <v>10</v>
      </c>
      <c r="C330">
        <v>67</v>
      </c>
      <c r="D330" t="s">
        <v>243</v>
      </c>
      <c r="E330">
        <v>6</v>
      </c>
      <c r="F330" t="s">
        <v>39</v>
      </c>
      <c r="I330">
        <v>1</v>
      </c>
    </row>
    <row r="331" spans="1:9">
      <c r="A331" t="s">
        <v>239</v>
      </c>
      <c r="B331" t="s">
        <v>10</v>
      </c>
      <c r="C331">
        <v>67</v>
      </c>
      <c r="D331" t="s">
        <v>243</v>
      </c>
      <c r="E331">
        <v>7</v>
      </c>
      <c r="F331" t="s">
        <v>40</v>
      </c>
    </row>
    <row r="332" spans="1:9">
      <c r="A332" t="s">
        <v>239</v>
      </c>
      <c r="B332" t="s">
        <v>10</v>
      </c>
      <c r="C332">
        <v>68</v>
      </c>
      <c r="D332" t="s">
        <v>244</v>
      </c>
      <c r="E332">
        <v>1</v>
      </c>
      <c r="F332" t="s">
        <v>42</v>
      </c>
      <c r="I332">
        <v>1</v>
      </c>
    </row>
    <row r="333" spans="1:9">
      <c r="A333" t="s">
        <v>239</v>
      </c>
      <c r="B333" t="s">
        <v>10</v>
      </c>
      <c r="C333">
        <v>68</v>
      </c>
      <c r="D333" t="s">
        <v>244</v>
      </c>
      <c r="E333">
        <v>2</v>
      </c>
      <c r="F333" t="s">
        <v>43</v>
      </c>
    </row>
    <row r="334" spans="1:9">
      <c r="A334" t="s">
        <v>239</v>
      </c>
      <c r="B334" t="s">
        <v>10</v>
      </c>
      <c r="C334">
        <v>68</v>
      </c>
      <c r="D334" t="s">
        <v>244</v>
      </c>
      <c r="E334">
        <v>3</v>
      </c>
      <c r="F334" t="s">
        <v>44</v>
      </c>
    </row>
    <row r="335" spans="1:9">
      <c r="A335" t="s">
        <v>239</v>
      </c>
      <c r="B335" t="s">
        <v>10</v>
      </c>
      <c r="C335">
        <v>68</v>
      </c>
      <c r="D335" t="s">
        <v>244</v>
      </c>
      <c r="E335">
        <v>4</v>
      </c>
      <c r="F335" t="s">
        <v>45</v>
      </c>
    </row>
    <row r="336" spans="1:9">
      <c r="A336" t="s">
        <v>239</v>
      </c>
      <c r="B336" t="s">
        <v>10</v>
      </c>
      <c r="C336">
        <v>68</v>
      </c>
      <c r="D336" t="s">
        <v>244</v>
      </c>
      <c r="E336">
        <v>5</v>
      </c>
      <c r="F336" t="s">
        <v>46</v>
      </c>
      <c r="I336">
        <v>1</v>
      </c>
    </row>
    <row r="337" spans="1:9">
      <c r="A337" t="s">
        <v>239</v>
      </c>
      <c r="B337" t="s">
        <v>10</v>
      </c>
      <c r="C337">
        <v>68</v>
      </c>
      <c r="D337" t="s">
        <v>244</v>
      </c>
      <c r="E337">
        <v>6</v>
      </c>
      <c r="F337" t="s">
        <v>47</v>
      </c>
      <c r="I337">
        <v>1</v>
      </c>
    </row>
    <row r="338" spans="1:9">
      <c r="A338" t="s">
        <v>239</v>
      </c>
      <c r="B338" t="s">
        <v>10</v>
      </c>
      <c r="C338">
        <v>68</v>
      </c>
      <c r="D338" t="s">
        <v>244</v>
      </c>
      <c r="E338">
        <v>7</v>
      </c>
      <c r="F338" t="s">
        <v>48</v>
      </c>
    </row>
    <row r="339" spans="1:9">
      <c r="A339" t="s">
        <v>239</v>
      </c>
      <c r="B339" t="s">
        <v>10</v>
      </c>
      <c r="C339">
        <v>69</v>
      </c>
      <c r="D339" t="s">
        <v>245</v>
      </c>
      <c r="E339">
        <v>1</v>
      </c>
      <c r="F339" t="s">
        <v>50</v>
      </c>
      <c r="I339">
        <v>1</v>
      </c>
    </row>
    <row r="340" spans="1:9">
      <c r="A340" t="s">
        <v>239</v>
      </c>
      <c r="B340" t="s">
        <v>10</v>
      </c>
      <c r="C340">
        <v>69</v>
      </c>
      <c r="D340" t="s">
        <v>245</v>
      </c>
      <c r="E340">
        <v>2</v>
      </c>
      <c r="F340" t="s">
        <v>51</v>
      </c>
    </row>
    <row r="341" spans="1:9">
      <c r="A341" t="s">
        <v>239</v>
      </c>
      <c r="B341" t="s">
        <v>10</v>
      </c>
      <c r="C341">
        <v>69</v>
      </c>
      <c r="D341" t="s">
        <v>245</v>
      </c>
      <c r="E341">
        <v>3</v>
      </c>
      <c r="F341" t="s">
        <v>52</v>
      </c>
    </row>
    <row r="342" spans="1:9">
      <c r="A342" t="s">
        <v>239</v>
      </c>
      <c r="B342" t="s">
        <v>10</v>
      </c>
      <c r="C342">
        <v>69</v>
      </c>
      <c r="D342" t="s">
        <v>245</v>
      </c>
      <c r="E342">
        <v>4</v>
      </c>
      <c r="F342" t="s">
        <v>53</v>
      </c>
    </row>
    <row r="343" spans="1:9">
      <c r="A343" t="s">
        <v>239</v>
      </c>
      <c r="B343" t="s">
        <v>10</v>
      </c>
      <c r="C343">
        <v>69</v>
      </c>
      <c r="D343" t="s">
        <v>245</v>
      </c>
      <c r="E343">
        <v>5</v>
      </c>
      <c r="F343" t="s">
        <v>46</v>
      </c>
      <c r="I343">
        <v>1</v>
      </c>
    </row>
    <row r="344" spans="1:9">
      <c r="A344" t="s">
        <v>239</v>
      </c>
      <c r="B344" t="s">
        <v>10</v>
      </c>
      <c r="C344">
        <v>69</v>
      </c>
      <c r="D344" t="s">
        <v>245</v>
      </c>
      <c r="E344">
        <v>6</v>
      </c>
      <c r="F344" t="s">
        <v>47</v>
      </c>
      <c r="I344">
        <v>1</v>
      </c>
    </row>
    <row r="345" spans="1:9">
      <c r="A345" t="s">
        <v>239</v>
      </c>
      <c r="B345" t="s">
        <v>10</v>
      </c>
      <c r="C345">
        <v>69</v>
      </c>
      <c r="D345" t="s">
        <v>245</v>
      </c>
      <c r="E345">
        <v>7</v>
      </c>
      <c r="F345" t="s">
        <v>48</v>
      </c>
    </row>
    <row r="346" spans="1:9">
      <c r="A346" t="s">
        <v>239</v>
      </c>
      <c r="B346" t="s">
        <v>10</v>
      </c>
      <c r="C346">
        <v>70</v>
      </c>
      <c r="D346" t="s">
        <v>246</v>
      </c>
      <c r="E346">
        <v>1</v>
      </c>
      <c r="F346" t="s">
        <v>55</v>
      </c>
      <c r="I346">
        <v>1</v>
      </c>
    </row>
    <row r="347" spans="1:9">
      <c r="A347" t="s">
        <v>239</v>
      </c>
      <c r="B347" t="s">
        <v>10</v>
      </c>
      <c r="C347">
        <v>70</v>
      </c>
      <c r="D347" t="s">
        <v>246</v>
      </c>
      <c r="E347">
        <v>2</v>
      </c>
      <c r="F347" t="s">
        <v>56</v>
      </c>
    </row>
    <row r="348" spans="1:9">
      <c r="A348" t="s">
        <v>239</v>
      </c>
      <c r="B348" t="s">
        <v>10</v>
      </c>
      <c r="C348">
        <v>70</v>
      </c>
      <c r="D348" t="s">
        <v>246</v>
      </c>
      <c r="E348">
        <v>3</v>
      </c>
      <c r="F348" t="s">
        <v>57</v>
      </c>
    </row>
    <row r="349" spans="1:9">
      <c r="A349" t="s">
        <v>239</v>
      </c>
      <c r="B349" t="s">
        <v>10</v>
      </c>
      <c r="C349">
        <v>70</v>
      </c>
      <c r="D349" t="s">
        <v>246</v>
      </c>
      <c r="E349">
        <v>4</v>
      </c>
      <c r="F349" t="s">
        <v>58</v>
      </c>
    </row>
    <row r="350" spans="1:9">
      <c r="A350" t="s">
        <v>239</v>
      </c>
      <c r="B350" t="s">
        <v>10</v>
      </c>
      <c r="C350">
        <v>70</v>
      </c>
      <c r="D350" t="s">
        <v>246</v>
      </c>
      <c r="E350">
        <v>5</v>
      </c>
      <c r="F350" t="s">
        <v>59</v>
      </c>
    </row>
    <row r="351" spans="1:9">
      <c r="A351" t="s">
        <v>239</v>
      </c>
      <c r="B351" t="s">
        <v>10</v>
      </c>
      <c r="C351">
        <v>71</v>
      </c>
      <c r="D351" t="s">
        <v>247</v>
      </c>
      <c r="E351">
        <v>1</v>
      </c>
      <c r="F351" t="s">
        <v>61</v>
      </c>
    </row>
    <row r="352" spans="1:9">
      <c r="A352" t="s">
        <v>239</v>
      </c>
      <c r="B352" t="s">
        <v>10</v>
      </c>
      <c r="C352">
        <v>71</v>
      </c>
      <c r="D352" t="s">
        <v>247</v>
      </c>
      <c r="E352">
        <v>2</v>
      </c>
      <c r="F352" t="s">
        <v>62</v>
      </c>
    </row>
    <row r="353" spans="1:9">
      <c r="A353" t="s">
        <v>239</v>
      </c>
      <c r="B353" t="s">
        <v>10</v>
      </c>
      <c r="C353">
        <v>71</v>
      </c>
      <c r="D353" t="s">
        <v>247</v>
      </c>
      <c r="E353">
        <v>3</v>
      </c>
      <c r="F353" t="s">
        <v>63</v>
      </c>
    </row>
    <row r="354" spans="1:9">
      <c r="A354" t="s">
        <v>239</v>
      </c>
      <c r="B354" t="s">
        <v>10</v>
      </c>
      <c r="C354">
        <v>71</v>
      </c>
      <c r="D354" t="s">
        <v>247</v>
      </c>
      <c r="E354">
        <v>4</v>
      </c>
      <c r="F354" t="s">
        <v>64</v>
      </c>
      <c r="I354">
        <v>1</v>
      </c>
    </row>
    <row r="355" spans="1:9">
      <c r="A355" t="s">
        <v>239</v>
      </c>
      <c r="B355" t="s">
        <v>10</v>
      </c>
      <c r="C355">
        <v>71</v>
      </c>
      <c r="D355" t="s">
        <v>247</v>
      </c>
      <c r="E355">
        <v>5</v>
      </c>
      <c r="F355" t="s">
        <v>65</v>
      </c>
    </row>
    <row r="356" spans="1:9">
      <c r="A356" t="s">
        <v>239</v>
      </c>
      <c r="B356" t="s">
        <v>10</v>
      </c>
      <c r="C356">
        <v>71</v>
      </c>
      <c r="D356" t="s">
        <v>247</v>
      </c>
      <c r="E356">
        <v>6</v>
      </c>
      <c r="F356" t="s">
        <v>66</v>
      </c>
      <c r="I356">
        <v>1</v>
      </c>
    </row>
    <row r="357" spans="1:9">
      <c r="A357" t="s">
        <v>239</v>
      </c>
      <c r="B357" t="s">
        <v>67</v>
      </c>
      <c r="C357">
        <v>72</v>
      </c>
      <c r="D357" t="s">
        <v>248</v>
      </c>
      <c r="E357">
        <v>1</v>
      </c>
      <c r="F357" t="s">
        <v>69</v>
      </c>
    </row>
    <row r="358" spans="1:9">
      <c r="A358" t="s">
        <v>239</v>
      </c>
      <c r="B358" t="s">
        <v>67</v>
      </c>
      <c r="C358">
        <v>72</v>
      </c>
      <c r="D358" t="s">
        <v>248</v>
      </c>
      <c r="E358">
        <v>2</v>
      </c>
      <c r="F358" t="s">
        <v>70</v>
      </c>
    </row>
    <row r="359" spans="1:9">
      <c r="A359" t="s">
        <v>239</v>
      </c>
      <c r="B359" t="s">
        <v>67</v>
      </c>
      <c r="C359">
        <v>72</v>
      </c>
      <c r="D359" t="s">
        <v>248</v>
      </c>
      <c r="E359">
        <v>3</v>
      </c>
      <c r="F359" t="s">
        <v>71</v>
      </c>
    </row>
    <row r="360" spans="1:9">
      <c r="A360" t="s">
        <v>239</v>
      </c>
      <c r="B360" t="s">
        <v>67</v>
      </c>
      <c r="C360">
        <v>72</v>
      </c>
      <c r="D360" t="s">
        <v>248</v>
      </c>
      <c r="E360">
        <v>4</v>
      </c>
      <c r="F360" t="s">
        <v>72</v>
      </c>
    </row>
    <row r="361" spans="1:9">
      <c r="A361" t="s">
        <v>239</v>
      </c>
      <c r="B361" t="s">
        <v>67</v>
      </c>
      <c r="C361">
        <v>72</v>
      </c>
      <c r="D361" t="s">
        <v>248</v>
      </c>
      <c r="E361">
        <v>5</v>
      </c>
      <c r="F361" t="s">
        <v>73</v>
      </c>
    </row>
    <row r="362" spans="1:9">
      <c r="A362" t="s">
        <v>239</v>
      </c>
      <c r="B362" t="s">
        <v>67</v>
      </c>
      <c r="C362">
        <v>72</v>
      </c>
      <c r="D362" t="s">
        <v>248</v>
      </c>
      <c r="E362">
        <v>6</v>
      </c>
      <c r="F362" t="s">
        <v>74</v>
      </c>
    </row>
    <row r="363" spans="1:9">
      <c r="A363" t="s">
        <v>239</v>
      </c>
      <c r="B363" t="s">
        <v>67</v>
      </c>
      <c r="C363">
        <v>72</v>
      </c>
      <c r="D363" t="s">
        <v>248</v>
      </c>
      <c r="E363">
        <v>7</v>
      </c>
      <c r="F363" t="s">
        <v>75</v>
      </c>
    </row>
    <row r="364" spans="1:9">
      <c r="A364" t="s">
        <v>239</v>
      </c>
      <c r="B364" t="s">
        <v>67</v>
      </c>
      <c r="C364">
        <v>72</v>
      </c>
      <c r="D364" t="s">
        <v>248</v>
      </c>
      <c r="E364">
        <v>8</v>
      </c>
      <c r="F364" t="s">
        <v>76</v>
      </c>
      <c r="I364">
        <v>1</v>
      </c>
    </row>
    <row r="365" spans="1:9">
      <c r="A365" t="s">
        <v>239</v>
      </c>
      <c r="B365" t="s">
        <v>67</v>
      </c>
      <c r="C365">
        <v>72</v>
      </c>
      <c r="D365" t="s">
        <v>248</v>
      </c>
      <c r="E365">
        <v>9</v>
      </c>
      <c r="F365" t="s">
        <v>77</v>
      </c>
    </row>
    <row r="366" spans="1:9">
      <c r="A366" t="s">
        <v>239</v>
      </c>
      <c r="B366" t="s">
        <v>67</v>
      </c>
      <c r="C366">
        <v>72</v>
      </c>
      <c r="D366" t="s">
        <v>248</v>
      </c>
      <c r="E366">
        <v>10</v>
      </c>
      <c r="F366" t="s">
        <v>78</v>
      </c>
    </row>
    <row r="367" spans="1:9">
      <c r="A367" t="s">
        <v>239</v>
      </c>
      <c r="B367" t="s">
        <v>67</v>
      </c>
      <c r="C367">
        <v>73</v>
      </c>
      <c r="D367" t="s">
        <v>249</v>
      </c>
      <c r="E367">
        <v>1</v>
      </c>
      <c r="F367" t="s">
        <v>69</v>
      </c>
    </row>
    <row r="368" spans="1:9">
      <c r="A368" t="s">
        <v>239</v>
      </c>
      <c r="B368" t="s">
        <v>67</v>
      </c>
      <c r="C368">
        <v>73</v>
      </c>
      <c r="D368" t="s">
        <v>249</v>
      </c>
      <c r="E368">
        <v>2</v>
      </c>
      <c r="F368" t="s">
        <v>71</v>
      </c>
    </row>
    <row r="369" spans="1:9">
      <c r="A369" t="s">
        <v>239</v>
      </c>
      <c r="B369" t="s">
        <v>67</v>
      </c>
      <c r="C369">
        <v>73</v>
      </c>
      <c r="D369" t="s">
        <v>249</v>
      </c>
      <c r="E369">
        <v>3</v>
      </c>
      <c r="F369" t="s">
        <v>80</v>
      </c>
    </row>
    <row r="370" spans="1:9">
      <c r="A370" t="s">
        <v>239</v>
      </c>
      <c r="B370" t="s">
        <v>67</v>
      </c>
      <c r="C370">
        <v>73</v>
      </c>
      <c r="D370" t="s">
        <v>249</v>
      </c>
      <c r="E370">
        <v>4</v>
      </c>
      <c r="F370" t="s">
        <v>81</v>
      </c>
      <c r="I370">
        <v>1</v>
      </c>
    </row>
    <row r="371" spans="1:9">
      <c r="A371" t="s">
        <v>239</v>
      </c>
      <c r="B371" t="s">
        <v>67</v>
      </c>
      <c r="C371">
        <v>73</v>
      </c>
      <c r="D371" t="s">
        <v>249</v>
      </c>
      <c r="E371">
        <v>5</v>
      </c>
      <c r="F371" t="s">
        <v>82</v>
      </c>
    </row>
    <row r="372" spans="1:9">
      <c r="A372" t="s">
        <v>239</v>
      </c>
      <c r="B372" t="s">
        <v>67</v>
      </c>
      <c r="C372">
        <v>73</v>
      </c>
      <c r="D372" t="s">
        <v>249</v>
      </c>
      <c r="E372">
        <v>6</v>
      </c>
      <c r="F372" t="s">
        <v>75</v>
      </c>
    </row>
    <row r="373" spans="1:9">
      <c r="A373" t="s">
        <v>239</v>
      </c>
      <c r="B373" t="s">
        <v>67</v>
      </c>
      <c r="C373">
        <v>73</v>
      </c>
      <c r="D373" t="s">
        <v>249</v>
      </c>
      <c r="E373">
        <v>7</v>
      </c>
      <c r="F373" t="s">
        <v>76</v>
      </c>
      <c r="I373">
        <v>1</v>
      </c>
    </row>
    <row r="374" spans="1:9">
      <c r="A374" t="s">
        <v>239</v>
      </c>
      <c r="B374" t="s">
        <v>67</v>
      </c>
      <c r="C374">
        <v>73</v>
      </c>
      <c r="D374" t="s">
        <v>249</v>
      </c>
      <c r="E374">
        <v>8</v>
      </c>
      <c r="F374" t="s">
        <v>77</v>
      </c>
    </row>
    <row r="375" spans="1:9">
      <c r="A375" t="s">
        <v>239</v>
      </c>
      <c r="B375" t="s">
        <v>67</v>
      </c>
      <c r="C375">
        <v>73</v>
      </c>
      <c r="D375" t="s">
        <v>249</v>
      </c>
      <c r="E375">
        <v>9</v>
      </c>
      <c r="F375" t="s">
        <v>78</v>
      </c>
    </row>
    <row r="376" spans="1:9">
      <c r="A376" t="s">
        <v>239</v>
      </c>
      <c r="B376" t="s">
        <v>67</v>
      </c>
      <c r="C376">
        <v>74</v>
      </c>
      <c r="D376" t="s">
        <v>250</v>
      </c>
      <c r="E376">
        <v>1</v>
      </c>
      <c r="F376" t="s">
        <v>76</v>
      </c>
      <c r="I376">
        <v>1</v>
      </c>
    </row>
    <row r="377" spans="1:9">
      <c r="A377" t="s">
        <v>239</v>
      </c>
      <c r="B377" t="s">
        <v>67</v>
      </c>
      <c r="C377">
        <v>74</v>
      </c>
      <c r="D377" t="s">
        <v>250</v>
      </c>
      <c r="E377">
        <v>2</v>
      </c>
      <c r="F377" t="s">
        <v>84</v>
      </c>
    </row>
    <row r="378" spans="1:9">
      <c r="A378" t="s">
        <v>239</v>
      </c>
      <c r="B378" t="s">
        <v>67</v>
      </c>
      <c r="C378">
        <v>74</v>
      </c>
      <c r="D378" t="s">
        <v>250</v>
      </c>
      <c r="E378">
        <v>3</v>
      </c>
      <c r="F378" t="s">
        <v>85</v>
      </c>
    </row>
    <row r="379" spans="1:9">
      <c r="A379" t="s">
        <v>239</v>
      </c>
      <c r="B379" t="s">
        <v>67</v>
      </c>
      <c r="C379">
        <v>75</v>
      </c>
      <c r="D379" t="s">
        <v>251</v>
      </c>
      <c r="E379">
        <v>1</v>
      </c>
      <c r="F379" t="s">
        <v>87</v>
      </c>
    </row>
    <row r="380" spans="1:9">
      <c r="A380" t="s">
        <v>239</v>
      </c>
      <c r="B380" t="s">
        <v>67</v>
      </c>
      <c r="C380">
        <v>75</v>
      </c>
      <c r="D380" t="s">
        <v>251</v>
      </c>
      <c r="E380">
        <v>2</v>
      </c>
      <c r="F380" t="s">
        <v>88</v>
      </c>
      <c r="I380">
        <v>1</v>
      </c>
    </row>
    <row r="381" spans="1:9">
      <c r="A381" t="s">
        <v>239</v>
      </c>
      <c r="B381" t="s">
        <v>67</v>
      </c>
      <c r="C381">
        <v>75</v>
      </c>
      <c r="D381" t="s">
        <v>251</v>
      </c>
      <c r="E381">
        <v>3</v>
      </c>
      <c r="F381" t="s">
        <v>89</v>
      </c>
      <c r="I381">
        <v>1</v>
      </c>
    </row>
    <row r="382" spans="1:9">
      <c r="A382" t="s">
        <v>239</v>
      </c>
      <c r="B382" t="s">
        <v>67</v>
      </c>
      <c r="C382">
        <v>75</v>
      </c>
      <c r="D382" t="s">
        <v>251</v>
      </c>
      <c r="E382">
        <v>4</v>
      </c>
      <c r="F382" t="s">
        <v>90</v>
      </c>
      <c r="I382">
        <v>1</v>
      </c>
    </row>
    <row r="383" spans="1:9">
      <c r="A383" t="s">
        <v>239</v>
      </c>
      <c r="B383" t="s">
        <v>67</v>
      </c>
      <c r="C383">
        <v>75</v>
      </c>
      <c r="D383" t="s">
        <v>251</v>
      </c>
      <c r="E383">
        <v>5</v>
      </c>
      <c r="F383" t="s">
        <v>91</v>
      </c>
    </row>
    <row r="384" spans="1:9">
      <c r="A384" t="s">
        <v>239</v>
      </c>
      <c r="B384" t="s">
        <v>67</v>
      </c>
      <c r="C384">
        <v>75</v>
      </c>
      <c r="D384" t="s">
        <v>251</v>
      </c>
      <c r="E384">
        <v>6</v>
      </c>
      <c r="F384" t="s">
        <v>92</v>
      </c>
    </row>
    <row r="385" spans="1:9">
      <c r="A385" t="s">
        <v>239</v>
      </c>
      <c r="B385" t="s">
        <v>67</v>
      </c>
      <c r="C385">
        <v>76</v>
      </c>
      <c r="D385" t="s">
        <v>252</v>
      </c>
      <c r="E385">
        <v>1</v>
      </c>
      <c r="F385" t="s">
        <v>94</v>
      </c>
      <c r="I385">
        <v>1</v>
      </c>
    </row>
    <row r="386" spans="1:9">
      <c r="A386" t="s">
        <v>239</v>
      </c>
      <c r="B386" t="s">
        <v>67</v>
      </c>
      <c r="C386">
        <v>76</v>
      </c>
      <c r="D386" t="s">
        <v>252</v>
      </c>
      <c r="E386">
        <v>2</v>
      </c>
      <c r="F386" t="s">
        <v>95</v>
      </c>
    </row>
    <row r="387" spans="1:9">
      <c r="A387" t="s">
        <v>239</v>
      </c>
      <c r="B387" t="s">
        <v>67</v>
      </c>
      <c r="C387">
        <v>76</v>
      </c>
      <c r="D387" t="s">
        <v>252</v>
      </c>
      <c r="E387">
        <v>3</v>
      </c>
      <c r="F387" t="s">
        <v>96</v>
      </c>
    </row>
    <row r="388" spans="1:9">
      <c r="A388" t="s">
        <v>239</v>
      </c>
      <c r="B388" t="s">
        <v>67</v>
      </c>
      <c r="C388">
        <v>76</v>
      </c>
      <c r="D388" t="s">
        <v>252</v>
      </c>
      <c r="E388">
        <v>4</v>
      </c>
      <c r="F388" t="s">
        <v>97</v>
      </c>
    </row>
    <row r="389" spans="1:9">
      <c r="A389" t="s">
        <v>239</v>
      </c>
      <c r="B389" t="s">
        <v>67</v>
      </c>
      <c r="C389">
        <v>76</v>
      </c>
      <c r="D389" t="s">
        <v>252</v>
      </c>
      <c r="E389">
        <v>5</v>
      </c>
      <c r="F389" t="s">
        <v>98</v>
      </c>
      <c r="I389">
        <v>1</v>
      </c>
    </row>
    <row r="390" spans="1:9">
      <c r="A390" t="s">
        <v>239</v>
      </c>
      <c r="B390" t="s">
        <v>67</v>
      </c>
      <c r="C390">
        <v>76</v>
      </c>
      <c r="D390" t="s">
        <v>252</v>
      </c>
      <c r="E390">
        <v>6</v>
      </c>
      <c r="F390" t="s">
        <v>99</v>
      </c>
    </row>
    <row r="391" spans="1:9">
      <c r="A391" t="s">
        <v>239</v>
      </c>
      <c r="B391" t="s">
        <v>100</v>
      </c>
      <c r="C391">
        <v>77</v>
      </c>
      <c r="D391" t="s">
        <v>253</v>
      </c>
      <c r="E391">
        <v>1</v>
      </c>
      <c r="F391" t="s">
        <v>102</v>
      </c>
      <c r="I391">
        <v>1</v>
      </c>
    </row>
    <row r="392" spans="1:9">
      <c r="A392" t="s">
        <v>239</v>
      </c>
      <c r="B392" t="s">
        <v>100</v>
      </c>
      <c r="C392">
        <v>77</v>
      </c>
      <c r="D392" t="s">
        <v>253</v>
      </c>
      <c r="E392">
        <v>2</v>
      </c>
      <c r="F392" t="s">
        <v>103</v>
      </c>
      <c r="I392">
        <v>1</v>
      </c>
    </row>
    <row r="393" spans="1:9">
      <c r="A393" t="s">
        <v>239</v>
      </c>
      <c r="B393" t="s">
        <v>100</v>
      </c>
      <c r="C393">
        <v>78</v>
      </c>
      <c r="D393" t="s">
        <v>254</v>
      </c>
      <c r="E393">
        <v>1</v>
      </c>
      <c r="F393" t="s">
        <v>105</v>
      </c>
      <c r="I393">
        <v>1</v>
      </c>
    </row>
    <row r="394" spans="1:9">
      <c r="A394" t="s">
        <v>239</v>
      </c>
      <c r="B394" t="s">
        <v>100</v>
      </c>
      <c r="C394">
        <v>78</v>
      </c>
      <c r="D394" t="s">
        <v>254</v>
      </c>
      <c r="E394">
        <v>2</v>
      </c>
      <c r="F394" t="s">
        <v>106</v>
      </c>
    </row>
    <row r="395" spans="1:9">
      <c r="A395" t="s">
        <v>239</v>
      </c>
      <c r="B395" t="s">
        <v>100</v>
      </c>
      <c r="C395">
        <v>78</v>
      </c>
      <c r="D395" t="s">
        <v>254</v>
      </c>
      <c r="E395">
        <v>3</v>
      </c>
      <c r="F395" t="s">
        <v>107</v>
      </c>
    </row>
    <row r="396" spans="1:9">
      <c r="A396" t="s">
        <v>239</v>
      </c>
      <c r="B396" t="s">
        <v>100</v>
      </c>
      <c r="C396">
        <v>78</v>
      </c>
      <c r="D396" t="s">
        <v>254</v>
      </c>
      <c r="E396">
        <v>4</v>
      </c>
      <c r="F396" t="s">
        <v>108</v>
      </c>
    </row>
    <row r="397" spans="1:9">
      <c r="A397" t="s">
        <v>239</v>
      </c>
      <c r="B397" t="s">
        <v>100</v>
      </c>
      <c r="C397">
        <v>78</v>
      </c>
      <c r="D397" t="s">
        <v>254</v>
      </c>
      <c r="E397">
        <v>5</v>
      </c>
      <c r="F397" t="s">
        <v>109</v>
      </c>
      <c r="I397">
        <v>1</v>
      </c>
    </row>
    <row r="398" spans="1:9">
      <c r="A398" t="s">
        <v>239</v>
      </c>
      <c r="B398" t="s">
        <v>100</v>
      </c>
      <c r="C398">
        <v>78</v>
      </c>
      <c r="D398" t="s">
        <v>254</v>
      </c>
      <c r="E398">
        <v>6</v>
      </c>
      <c r="F398" t="s">
        <v>110</v>
      </c>
    </row>
    <row r="399" spans="1:9">
      <c r="A399" t="s">
        <v>239</v>
      </c>
      <c r="B399" t="s">
        <v>100</v>
      </c>
      <c r="C399">
        <v>78</v>
      </c>
      <c r="D399" t="s">
        <v>254</v>
      </c>
      <c r="E399">
        <v>7</v>
      </c>
      <c r="F399" t="s">
        <v>111</v>
      </c>
    </row>
    <row r="400" spans="1:9">
      <c r="A400" t="s">
        <v>239</v>
      </c>
      <c r="B400" t="s">
        <v>100</v>
      </c>
      <c r="C400">
        <v>79</v>
      </c>
      <c r="D400" t="s">
        <v>255</v>
      </c>
      <c r="E400">
        <v>1</v>
      </c>
      <c r="F400" t="s">
        <v>113</v>
      </c>
      <c r="I400">
        <v>1</v>
      </c>
    </row>
    <row r="401" spans="1:9">
      <c r="A401" t="s">
        <v>239</v>
      </c>
      <c r="B401" t="s">
        <v>100</v>
      </c>
      <c r="C401">
        <v>79</v>
      </c>
      <c r="D401" t="s">
        <v>255</v>
      </c>
      <c r="E401">
        <v>2</v>
      </c>
      <c r="F401" t="s">
        <v>114</v>
      </c>
    </row>
    <row r="402" spans="1:9">
      <c r="A402" t="s">
        <v>239</v>
      </c>
      <c r="B402" t="s">
        <v>100</v>
      </c>
      <c r="C402">
        <v>79</v>
      </c>
      <c r="D402" t="s">
        <v>255</v>
      </c>
      <c r="E402">
        <v>3</v>
      </c>
      <c r="F402" t="s">
        <v>115</v>
      </c>
    </row>
    <row r="403" spans="1:9">
      <c r="A403" t="s">
        <v>239</v>
      </c>
      <c r="B403" t="s">
        <v>100</v>
      </c>
      <c r="C403">
        <v>79</v>
      </c>
      <c r="D403" t="s">
        <v>255</v>
      </c>
      <c r="E403">
        <v>4</v>
      </c>
      <c r="F403" t="s">
        <v>109</v>
      </c>
      <c r="I403">
        <v>1</v>
      </c>
    </row>
    <row r="404" spans="1:9">
      <c r="A404" t="s">
        <v>239</v>
      </c>
      <c r="B404" t="s">
        <v>100</v>
      </c>
      <c r="C404">
        <v>79</v>
      </c>
      <c r="D404" t="s">
        <v>255</v>
      </c>
      <c r="E404">
        <v>5</v>
      </c>
      <c r="F404" t="s">
        <v>116</v>
      </c>
    </row>
    <row r="405" spans="1:9">
      <c r="A405" t="s">
        <v>239</v>
      </c>
      <c r="B405" t="s">
        <v>100</v>
      </c>
      <c r="C405">
        <v>79</v>
      </c>
      <c r="D405" t="s">
        <v>255</v>
      </c>
      <c r="E405">
        <v>6</v>
      </c>
      <c r="F405" t="s">
        <v>111</v>
      </c>
    </row>
    <row r="406" spans="1:9">
      <c r="A406" t="s">
        <v>239</v>
      </c>
      <c r="B406" t="s">
        <v>100</v>
      </c>
      <c r="C406">
        <v>80</v>
      </c>
      <c r="D406" t="s">
        <v>256</v>
      </c>
      <c r="E406">
        <v>1</v>
      </c>
      <c r="F406" t="s">
        <v>118</v>
      </c>
      <c r="I406">
        <v>1</v>
      </c>
    </row>
    <row r="407" spans="1:9">
      <c r="A407" t="s">
        <v>239</v>
      </c>
      <c r="B407" t="s">
        <v>100</v>
      </c>
      <c r="C407">
        <v>80</v>
      </c>
      <c r="D407" t="s">
        <v>256</v>
      </c>
      <c r="E407">
        <v>2</v>
      </c>
      <c r="F407" t="s">
        <v>114</v>
      </c>
    </row>
    <row r="408" spans="1:9">
      <c r="A408" t="s">
        <v>239</v>
      </c>
      <c r="B408" t="s">
        <v>100</v>
      </c>
      <c r="C408">
        <v>80</v>
      </c>
      <c r="D408" t="s">
        <v>256</v>
      </c>
      <c r="E408">
        <v>3</v>
      </c>
      <c r="F408" t="s">
        <v>119</v>
      </c>
      <c r="I408">
        <v>1</v>
      </c>
    </row>
    <row r="409" spans="1:9">
      <c r="A409" t="s">
        <v>239</v>
      </c>
      <c r="B409" t="s">
        <v>100</v>
      </c>
      <c r="C409">
        <v>80</v>
      </c>
      <c r="D409" t="s">
        <v>256</v>
      </c>
      <c r="E409">
        <v>4</v>
      </c>
      <c r="F409" t="s">
        <v>120</v>
      </c>
    </row>
    <row r="410" spans="1:9">
      <c r="A410" t="s">
        <v>239</v>
      </c>
      <c r="B410" t="s">
        <v>100</v>
      </c>
      <c r="C410">
        <v>80</v>
      </c>
      <c r="D410" t="s">
        <v>256</v>
      </c>
      <c r="E410">
        <v>5</v>
      </c>
      <c r="F410" t="s">
        <v>111</v>
      </c>
    </row>
    <row r="411" spans="1:9">
      <c r="A411" t="s">
        <v>239</v>
      </c>
      <c r="B411" t="s">
        <v>100</v>
      </c>
      <c r="C411">
        <v>81</v>
      </c>
      <c r="D411" t="s">
        <v>257</v>
      </c>
      <c r="E411">
        <v>1</v>
      </c>
      <c r="F411" t="s">
        <v>122</v>
      </c>
      <c r="I411">
        <v>1</v>
      </c>
    </row>
    <row r="412" spans="1:9">
      <c r="A412" t="s">
        <v>239</v>
      </c>
      <c r="B412" t="s">
        <v>100</v>
      </c>
      <c r="C412">
        <v>81</v>
      </c>
      <c r="D412" t="s">
        <v>257</v>
      </c>
      <c r="E412">
        <v>2</v>
      </c>
      <c r="F412" t="s">
        <v>114</v>
      </c>
    </row>
    <row r="413" spans="1:9">
      <c r="A413" t="s">
        <v>239</v>
      </c>
      <c r="B413" t="s">
        <v>100</v>
      </c>
      <c r="C413">
        <v>81</v>
      </c>
      <c r="D413" t="s">
        <v>257</v>
      </c>
      <c r="E413">
        <v>3</v>
      </c>
      <c r="F413" t="s">
        <v>123</v>
      </c>
    </row>
    <row r="414" spans="1:9">
      <c r="A414" t="s">
        <v>239</v>
      </c>
      <c r="B414" t="s">
        <v>100</v>
      </c>
      <c r="C414">
        <v>81</v>
      </c>
      <c r="D414" t="s">
        <v>257</v>
      </c>
      <c r="E414">
        <v>4</v>
      </c>
      <c r="F414" t="s">
        <v>109</v>
      </c>
      <c r="I414">
        <v>1</v>
      </c>
    </row>
    <row r="415" spans="1:9">
      <c r="A415" t="s">
        <v>239</v>
      </c>
      <c r="B415" t="s">
        <v>100</v>
      </c>
      <c r="C415">
        <v>81</v>
      </c>
      <c r="D415" t="s">
        <v>257</v>
      </c>
      <c r="E415">
        <v>5</v>
      </c>
      <c r="F415" t="s">
        <v>120</v>
      </c>
    </row>
    <row r="416" spans="1:9">
      <c r="A416" t="s">
        <v>239</v>
      </c>
      <c r="B416" t="s">
        <v>100</v>
      </c>
      <c r="C416">
        <v>81</v>
      </c>
      <c r="D416" t="s">
        <v>257</v>
      </c>
      <c r="E416">
        <v>6</v>
      </c>
      <c r="F416" t="s">
        <v>111</v>
      </c>
    </row>
    <row r="417" spans="1:9">
      <c r="A417" t="s">
        <v>239</v>
      </c>
      <c r="B417" t="s">
        <v>100</v>
      </c>
      <c r="C417">
        <v>82</v>
      </c>
      <c r="D417" t="s">
        <v>258</v>
      </c>
      <c r="E417">
        <v>1</v>
      </c>
      <c r="F417" t="s">
        <v>125</v>
      </c>
      <c r="I417">
        <v>1</v>
      </c>
    </row>
    <row r="418" spans="1:9">
      <c r="A418" t="s">
        <v>239</v>
      </c>
      <c r="B418" t="s">
        <v>100</v>
      </c>
      <c r="C418">
        <v>82</v>
      </c>
      <c r="D418" t="s">
        <v>258</v>
      </c>
      <c r="E418">
        <v>2</v>
      </c>
      <c r="F418" t="s">
        <v>126</v>
      </c>
    </row>
    <row r="419" spans="1:9">
      <c r="A419" t="s">
        <v>239</v>
      </c>
      <c r="B419" t="s">
        <v>100</v>
      </c>
      <c r="C419">
        <v>82</v>
      </c>
      <c r="D419" t="s">
        <v>258</v>
      </c>
      <c r="E419">
        <v>3</v>
      </c>
      <c r="F419" t="s">
        <v>127</v>
      </c>
      <c r="I419">
        <v>1</v>
      </c>
    </row>
    <row r="420" spans="1:9">
      <c r="A420" t="s">
        <v>239</v>
      </c>
      <c r="B420" t="s">
        <v>100</v>
      </c>
      <c r="C420">
        <v>82</v>
      </c>
      <c r="D420" t="s">
        <v>258</v>
      </c>
      <c r="E420">
        <v>4</v>
      </c>
      <c r="F420" t="s">
        <v>128</v>
      </c>
    </row>
    <row r="421" spans="1:9">
      <c r="A421" t="s">
        <v>239</v>
      </c>
      <c r="B421" t="s">
        <v>100</v>
      </c>
      <c r="C421">
        <v>83</v>
      </c>
      <c r="D421" t="s">
        <v>259</v>
      </c>
      <c r="E421">
        <v>1</v>
      </c>
      <c r="F421" t="s">
        <v>130</v>
      </c>
      <c r="I421">
        <v>1</v>
      </c>
    </row>
    <row r="422" spans="1:9">
      <c r="A422" t="s">
        <v>239</v>
      </c>
      <c r="B422" t="s">
        <v>100</v>
      </c>
      <c r="C422">
        <v>83</v>
      </c>
      <c r="D422" t="s">
        <v>259</v>
      </c>
      <c r="E422">
        <v>2</v>
      </c>
      <c r="F422" t="s">
        <v>131</v>
      </c>
      <c r="I422">
        <v>1</v>
      </c>
    </row>
    <row r="423" spans="1:9">
      <c r="A423" t="s">
        <v>239</v>
      </c>
      <c r="B423" t="s">
        <v>100</v>
      </c>
      <c r="C423">
        <v>83</v>
      </c>
      <c r="D423" t="s">
        <v>259</v>
      </c>
      <c r="E423">
        <v>3</v>
      </c>
      <c r="F423" t="s">
        <v>132</v>
      </c>
    </row>
    <row r="424" spans="1:9">
      <c r="A424" t="s">
        <v>239</v>
      </c>
      <c r="B424" t="s">
        <v>100</v>
      </c>
      <c r="C424">
        <v>83</v>
      </c>
      <c r="D424" t="s">
        <v>259</v>
      </c>
      <c r="E424">
        <v>4</v>
      </c>
      <c r="F424" t="s">
        <v>133</v>
      </c>
    </row>
    <row r="425" spans="1:9">
      <c r="A425" t="s">
        <v>239</v>
      </c>
      <c r="B425" t="s">
        <v>100</v>
      </c>
      <c r="C425">
        <v>84</v>
      </c>
      <c r="D425" t="s">
        <v>260</v>
      </c>
      <c r="E425">
        <v>1</v>
      </c>
      <c r="F425" t="s">
        <v>135</v>
      </c>
    </row>
    <row r="426" spans="1:9">
      <c r="A426" t="s">
        <v>239</v>
      </c>
      <c r="B426" t="s">
        <v>100</v>
      </c>
      <c r="C426">
        <v>84</v>
      </c>
      <c r="D426" t="s">
        <v>260</v>
      </c>
      <c r="E426">
        <v>2</v>
      </c>
      <c r="F426" t="s">
        <v>136</v>
      </c>
    </row>
    <row r="427" spans="1:9">
      <c r="A427" t="s">
        <v>239</v>
      </c>
      <c r="B427" t="s">
        <v>100</v>
      </c>
      <c r="C427">
        <v>84</v>
      </c>
      <c r="D427" t="s">
        <v>260</v>
      </c>
      <c r="E427">
        <v>3</v>
      </c>
      <c r="F427" t="s">
        <v>137</v>
      </c>
    </row>
    <row r="428" spans="1:9">
      <c r="A428" t="s">
        <v>239</v>
      </c>
      <c r="B428" t="s">
        <v>100</v>
      </c>
      <c r="C428">
        <v>84</v>
      </c>
      <c r="D428" t="s">
        <v>260</v>
      </c>
      <c r="E428">
        <v>4</v>
      </c>
      <c r="F428" t="s">
        <v>138</v>
      </c>
    </row>
    <row r="429" spans="1:9">
      <c r="A429" t="s">
        <v>239</v>
      </c>
      <c r="B429" t="s">
        <v>100</v>
      </c>
      <c r="C429">
        <v>84</v>
      </c>
      <c r="D429" t="s">
        <v>260</v>
      </c>
      <c r="E429">
        <v>5</v>
      </c>
      <c r="F429" t="s">
        <v>139</v>
      </c>
    </row>
    <row r="430" spans="1:9">
      <c r="A430" t="s">
        <v>239</v>
      </c>
      <c r="B430" t="s">
        <v>100</v>
      </c>
      <c r="C430">
        <v>84</v>
      </c>
      <c r="D430" t="s">
        <v>260</v>
      </c>
      <c r="E430">
        <v>6</v>
      </c>
      <c r="F430" t="s">
        <v>140</v>
      </c>
      <c r="I430">
        <v>1</v>
      </c>
    </row>
    <row r="431" spans="1:9">
      <c r="A431" t="s">
        <v>239</v>
      </c>
      <c r="B431" t="s">
        <v>100</v>
      </c>
      <c r="C431">
        <v>84</v>
      </c>
      <c r="D431" t="s">
        <v>260</v>
      </c>
      <c r="E431">
        <v>7</v>
      </c>
      <c r="F431" t="s">
        <v>141</v>
      </c>
    </row>
    <row r="432" spans="1:9">
      <c r="A432" t="s">
        <v>239</v>
      </c>
      <c r="B432" t="s">
        <v>100</v>
      </c>
      <c r="C432">
        <v>85</v>
      </c>
      <c r="D432" t="s">
        <v>261</v>
      </c>
      <c r="E432">
        <v>1</v>
      </c>
      <c r="F432" t="s">
        <v>143</v>
      </c>
    </row>
    <row r="433" spans="1:9">
      <c r="A433" t="s">
        <v>239</v>
      </c>
      <c r="B433" t="s">
        <v>100</v>
      </c>
      <c r="C433">
        <v>85</v>
      </c>
      <c r="D433" t="s">
        <v>261</v>
      </c>
      <c r="E433">
        <v>2</v>
      </c>
      <c r="F433" t="s">
        <v>144</v>
      </c>
    </row>
    <row r="434" spans="1:9">
      <c r="A434" t="s">
        <v>239</v>
      </c>
      <c r="B434" t="s">
        <v>100</v>
      </c>
      <c r="C434">
        <v>85</v>
      </c>
      <c r="D434" t="s">
        <v>261</v>
      </c>
      <c r="E434">
        <v>3</v>
      </c>
      <c r="F434" t="s">
        <v>145</v>
      </c>
    </row>
    <row r="435" spans="1:9">
      <c r="A435" t="s">
        <v>239</v>
      </c>
      <c r="B435" t="s">
        <v>100</v>
      </c>
      <c r="C435">
        <v>86</v>
      </c>
      <c r="D435" t="s">
        <v>262</v>
      </c>
      <c r="E435">
        <v>1</v>
      </c>
      <c r="F435" t="s">
        <v>147</v>
      </c>
    </row>
    <row r="436" spans="1:9">
      <c r="A436" t="s">
        <v>239</v>
      </c>
      <c r="B436" t="s">
        <v>100</v>
      </c>
      <c r="C436">
        <v>86</v>
      </c>
      <c r="D436" t="s">
        <v>262</v>
      </c>
      <c r="E436">
        <v>2</v>
      </c>
      <c r="F436" t="s">
        <v>148</v>
      </c>
    </row>
    <row r="437" spans="1:9">
      <c r="A437" t="s">
        <v>239</v>
      </c>
      <c r="B437" t="s">
        <v>100</v>
      </c>
      <c r="C437">
        <v>87</v>
      </c>
      <c r="D437" t="s">
        <v>263</v>
      </c>
      <c r="E437">
        <v>1</v>
      </c>
      <c r="F437" t="s">
        <v>150</v>
      </c>
    </row>
    <row r="438" spans="1:9">
      <c r="A438" t="s">
        <v>239</v>
      </c>
      <c r="B438" t="s">
        <v>100</v>
      </c>
      <c r="C438">
        <v>87</v>
      </c>
      <c r="D438" t="s">
        <v>263</v>
      </c>
      <c r="E438">
        <v>2</v>
      </c>
      <c r="F438" t="s">
        <v>151</v>
      </c>
    </row>
    <row r="439" spans="1:9">
      <c r="A439" t="s">
        <v>239</v>
      </c>
      <c r="B439" t="s">
        <v>100</v>
      </c>
      <c r="C439">
        <v>88</v>
      </c>
      <c r="D439" t="s">
        <v>264</v>
      </c>
      <c r="E439">
        <v>1</v>
      </c>
      <c r="F439" t="s">
        <v>153</v>
      </c>
      <c r="I439">
        <v>1</v>
      </c>
    </row>
    <row r="440" spans="1:9">
      <c r="A440" t="s">
        <v>239</v>
      </c>
      <c r="B440" t="s">
        <v>100</v>
      </c>
      <c r="C440">
        <v>88</v>
      </c>
      <c r="D440" t="s">
        <v>264</v>
      </c>
      <c r="E440">
        <v>2</v>
      </c>
      <c r="F440" t="s">
        <v>154</v>
      </c>
      <c r="I440">
        <v>1</v>
      </c>
    </row>
    <row r="441" spans="1:9">
      <c r="A441" t="s">
        <v>239</v>
      </c>
      <c r="B441" t="s">
        <v>100</v>
      </c>
      <c r="C441">
        <v>88</v>
      </c>
      <c r="D441" t="s">
        <v>264</v>
      </c>
      <c r="E441">
        <v>3</v>
      </c>
      <c r="F441" t="s">
        <v>155</v>
      </c>
    </row>
    <row r="442" spans="1:9">
      <c r="A442" t="s">
        <v>239</v>
      </c>
      <c r="B442" t="s">
        <v>100</v>
      </c>
      <c r="C442">
        <v>89</v>
      </c>
      <c r="D442" t="s">
        <v>265</v>
      </c>
      <c r="E442">
        <v>1</v>
      </c>
      <c r="F442" t="s">
        <v>157</v>
      </c>
      <c r="I442">
        <v>1</v>
      </c>
    </row>
    <row r="443" spans="1:9">
      <c r="A443" t="s">
        <v>239</v>
      </c>
      <c r="B443" t="s">
        <v>100</v>
      </c>
      <c r="C443">
        <v>89</v>
      </c>
      <c r="D443" t="s">
        <v>265</v>
      </c>
      <c r="E443">
        <v>2</v>
      </c>
      <c r="F443" t="s">
        <v>158</v>
      </c>
      <c r="I443">
        <v>1</v>
      </c>
    </row>
    <row r="444" spans="1:9">
      <c r="A444" t="s">
        <v>239</v>
      </c>
      <c r="B444" t="s">
        <v>100</v>
      </c>
      <c r="C444">
        <v>90</v>
      </c>
      <c r="D444" t="s">
        <v>266</v>
      </c>
      <c r="E444">
        <v>1</v>
      </c>
      <c r="F444" t="s">
        <v>160</v>
      </c>
      <c r="I444">
        <v>1</v>
      </c>
    </row>
    <row r="445" spans="1:9">
      <c r="A445" t="s">
        <v>239</v>
      </c>
      <c r="B445" t="s">
        <v>100</v>
      </c>
      <c r="C445">
        <v>90</v>
      </c>
      <c r="D445" t="s">
        <v>266</v>
      </c>
      <c r="E445">
        <v>2</v>
      </c>
      <c r="F445" t="s">
        <v>161</v>
      </c>
      <c r="I445">
        <v>1</v>
      </c>
    </row>
    <row r="446" spans="1:9">
      <c r="A446" t="s">
        <v>239</v>
      </c>
      <c r="B446" t="s">
        <v>100</v>
      </c>
      <c r="C446">
        <v>91</v>
      </c>
      <c r="D446" t="s">
        <v>267</v>
      </c>
      <c r="E446">
        <v>1</v>
      </c>
      <c r="F446" t="s">
        <v>163</v>
      </c>
      <c r="I446">
        <v>1</v>
      </c>
    </row>
    <row r="447" spans="1:9">
      <c r="A447" t="s">
        <v>239</v>
      </c>
      <c r="B447" t="s">
        <v>100</v>
      </c>
      <c r="C447">
        <v>91</v>
      </c>
      <c r="D447" t="s">
        <v>267</v>
      </c>
      <c r="E447">
        <v>2</v>
      </c>
      <c r="F447" t="s">
        <v>164</v>
      </c>
      <c r="I447">
        <v>1</v>
      </c>
    </row>
    <row r="448" spans="1:9">
      <c r="A448" t="s">
        <v>239</v>
      </c>
      <c r="B448" t="s">
        <v>100</v>
      </c>
      <c r="C448">
        <v>92</v>
      </c>
      <c r="D448" t="s">
        <v>268</v>
      </c>
      <c r="E448">
        <v>1</v>
      </c>
      <c r="F448" t="s">
        <v>166</v>
      </c>
      <c r="I448">
        <v>1</v>
      </c>
    </row>
    <row r="449" spans="1:9">
      <c r="A449" t="s">
        <v>239</v>
      </c>
      <c r="B449" t="s">
        <v>100</v>
      </c>
      <c r="C449">
        <v>92</v>
      </c>
      <c r="D449" t="s">
        <v>268</v>
      </c>
      <c r="E449">
        <v>2</v>
      </c>
      <c r="F449" t="s">
        <v>167</v>
      </c>
      <c r="I449">
        <v>1</v>
      </c>
    </row>
    <row r="450" spans="1:9">
      <c r="A450" t="s">
        <v>239</v>
      </c>
      <c r="B450" t="s">
        <v>100</v>
      </c>
      <c r="C450">
        <v>93</v>
      </c>
      <c r="D450" t="s">
        <v>269</v>
      </c>
      <c r="E450">
        <v>1</v>
      </c>
      <c r="F450" t="s">
        <v>169</v>
      </c>
      <c r="I450">
        <v>1</v>
      </c>
    </row>
    <row r="451" spans="1:9">
      <c r="A451" t="s">
        <v>239</v>
      </c>
      <c r="B451" t="s">
        <v>100</v>
      </c>
      <c r="C451">
        <v>93</v>
      </c>
      <c r="D451" t="s">
        <v>269</v>
      </c>
      <c r="E451">
        <v>2</v>
      </c>
      <c r="F451" t="s">
        <v>170</v>
      </c>
      <c r="I451">
        <v>1</v>
      </c>
    </row>
    <row r="452" spans="1:9">
      <c r="A452" t="s">
        <v>239</v>
      </c>
      <c r="B452" t="s">
        <v>171</v>
      </c>
      <c r="C452">
        <v>94</v>
      </c>
      <c r="D452" t="s">
        <v>270</v>
      </c>
      <c r="E452">
        <v>1</v>
      </c>
      <c r="F452" t="s">
        <v>173</v>
      </c>
    </row>
    <row r="453" spans="1:9">
      <c r="A453" t="s">
        <v>239</v>
      </c>
      <c r="B453" t="s">
        <v>171</v>
      </c>
      <c r="C453">
        <v>94</v>
      </c>
      <c r="D453" t="s">
        <v>270</v>
      </c>
      <c r="E453">
        <v>2</v>
      </c>
      <c r="F453" t="s">
        <v>174</v>
      </c>
    </row>
    <row r="454" spans="1:9">
      <c r="A454" t="s">
        <v>239</v>
      </c>
      <c r="B454" t="s">
        <v>171</v>
      </c>
      <c r="C454">
        <v>94</v>
      </c>
      <c r="D454" t="s">
        <v>270</v>
      </c>
      <c r="E454">
        <v>3</v>
      </c>
      <c r="F454" t="s">
        <v>175</v>
      </c>
      <c r="I454">
        <v>1</v>
      </c>
    </row>
    <row r="455" spans="1:9">
      <c r="A455" t="s">
        <v>239</v>
      </c>
      <c r="B455" t="s">
        <v>171</v>
      </c>
      <c r="C455">
        <v>94</v>
      </c>
      <c r="D455" t="s">
        <v>270</v>
      </c>
      <c r="E455">
        <v>4</v>
      </c>
      <c r="F455" t="s">
        <v>176</v>
      </c>
    </row>
    <row r="456" spans="1:9">
      <c r="A456" t="s">
        <v>239</v>
      </c>
      <c r="B456" t="s">
        <v>171</v>
      </c>
      <c r="C456">
        <v>94</v>
      </c>
      <c r="D456" t="s">
        <v>270</v>
      </c>
      <c r="E456">
        <v>5</v>
      </c>
      <c r="F456" t="s">
        <v>177</v>
      </c>
    </row>
    <row r="457" spans="1:9">
      <c r="A457" t="s">
        <v>239</v>
      </c>
      <c r="B457" t="s">
        <v>171</v>
      </c>
      <c r="C457">
        <v>94</v>
      </c>
      <c r="D457" t="s">
        <v>270</v>
      </c>
      <c r="E457">
        <v>6</v>
      </c>
      <c r="F457" t="s">
        <v>178</v>
      </c>
      <c r="I457">
        <v>1</v>
      </c>
    </row>
    <row r="458" spans="1:9">
      <c r="A458" t="s">
        <v>239</v>
      </c>
      <c r="B458" t="s">
        <v>171</v>
      </c>
      <c r="C458">
        <v>95</v>
      </c>
      <c r="D458" t="s">
        <v>271</v>
      </c>
      <c r="E458">
        <v>1</v>
      </c>
      <c r="F458" t="s">
        <v>180</v>
      </c>
      <c r="I458">
        <v>1</v>
      </c>
    </row>
    <row r="459" spans="1:9">
      <c r="A459" t="s">
        <v>239</v>
      </c>
      <c r="B459" t="s">
        <v>171</v>
      </c>
      <c r="C459">
        <v>95</v>
      </c>
      <c r="D459" t="s">
        <v>271</v>
      </c>
      <c r="E459">
        <v>2</v>
      </c>
      <c r="F459" t="s">
        <v>181</v>
      </c>
      <c r="I459">
        <v>1</v>
      </c>
    </row>
    <row r="460" spans="1:9">
      <c r="A460" t="s">
        <v>239</v>
      </c>
      <c r="B460" t="s">
        <v>171</v>
      </c>
      <c r="C460">
        <v>95</v>
      </c>
      <c r="D460" t="s">
        <v>271</v>
      </c>
      <c r="E460">
        <v>3</v>
      </c>
      <c r="F460" t="s">
        <v>28</v>
      </c>
    </row>
    <row r="461" spans="1:9">
      <c r="A461" t="s">
        <v>272</v>
      </c>
      <c r="B461" t="s">
        <v>10</v>
      </c>
      <c r="C461">
        <v>96</v>
      </c>
      <c r="D461" t="s">
        <v>273</v>
      </c>
      <c r="E461">
        <v>1</v>
      </c>
      <c r="F461" t="s">
        <v>274</v>
      </c>
      <c r="I461">
        <v>1</v>
      </c>
    </row>
    <row r="462" spans="1:9">
      <c r="A462" t="s">
        <v>272</v>
      </c>
      <c r="B462" t="s">
        <v>10</v>
      </c>
      <c r="C462">
        <v>96</v>
      </c>
      <c r="D462" t="s">
        <v>273</v>
      </c>
      <c r="E462">
        <v>2</v>
      </c>
      <c r="F462" t="s">
        <v>275</v>
      </c>
    </row>
    <row r="463" spans="1:9">
      <c r="A463" t="s">
        <v>272</v>
      </c>
      <c r="B463" t="s">
        <v>10</v>
      </c>
      <c r="C463">
        <v>96</v>
      </c>
      <c r="D463" t="s">
        <v>273</v>
      </c>
      <c r="E463">
        <v>3</v>
      </c>
      <c r="F463" t="s">
        <v>276</v>
      </c>
      <c r="I463">
        <v>1</v>
      </c>
    </row>
    <row r="464" spans="1:9">
      <c r="A464" t="s">
        <v>272</v>
      </c>
      <c r="B464" t="s">
        <v>10</v>
      </c>
      <c r="C464">
        <v>96</v>
      </c>
      <c r="D464" t="s">
        <v>273</v>
      </c>
      <c r="E464">
        <v>4</v>
      </c>
      <c r="F464" t="s">
        <v>277</v>
      </c>
      <c r="I464">
        <v>1</v>
      </c>
    </row>
    <row r="465" spans="1:9">
      <c r="A465" t="s">
        <v>272</v>
      </c>
      <c r="B465" t="s">
        <v>10</v>
      </c>
      <c r="C465">
        <v>97</v>
      </c>
      <c r="D465" t="s">
        <v>278</v>
      </c>
      <c r="E465">
        <v>1</v>
      </c>
      <c r="F465" t="s">
        <v>279</v>
      </c>
      <c r="I465">
        <v>1</v>
      </c>
    </row>
    <row r="466" spans="1:9">
      <c r="A466" t="s">
        <v>272</v>
      </c>
      <c r="B466" t="s">
        <v>10</v>
      </c>
      <c r="C466">
        <v>97</v>
      </c>
      <c r="D466" t="s">
        <v>278</v>
      </c>
      <c r="E466">
        <v>2</v>
      </c>
      <c r="F466" t="s">
        <v>280</v>
      </c>
    </row>
    <row r="467" spans="1:9">
      <c r="A467" t="s">
        <v>272</v>
      </c>
      <c r="B467" t="s">
        <v>10</v>
      </c>
      <c r="C467">
        <v>97</v>
      </c>
      <c r="D467" t="s">
        <v>278</v>
      </c>
      <c r="E467">
        <v>3</v>
      </c>
      <c r="F467" t="s">
        <v>281</v>
      </c>
    </row>
    <row r="468" spans="1:9">
      <c r="A468" t="s">
        <v>272</v>
      </c>
      <c r="B468" t="s">
        <v>10</v>
      </c>
      <c r="C468">
        <v>98</v>
      </c>
      <c r="D468" t="s">
        <v>282</v>
      </c>
      <c r="E468">
        <v>1</v>
      </c>
      <c r="F468" t="s">
        <v>30</v>
      </c>
      <c r="I468">
        <v>1</v>
      </c>
    </row>
    <row r="469" spans="1:9">
      <c r="A469" t="s">
        <v>272</v>
      </c>
      <c r="B469" t="s">
        <v>10</v>
      </c>
      <c r="C469">
        <v>98</v>
      </c>
      <c r="D469" t="s">
        <v>282</v>
      </c>
      <c r="E469">
        <v>2</v>
      </c>
      <c r="F469" t="s">
        <v>31</v>
      </c>
      <c r="I469">
        <v>1</v>
      </c>
    </row>
    <row r="470" spans="1:9">
      <c r="A470" t="s">
        <v>272</v>
      </c>
      <c r="B470" t="s">
        <v>10</v>
      </c>
      <c r="C470">
        <v>98</v>
      </c>
      <c r="D470" t="s">
        <v>282</v>
      </c>
      <c r="E470">
        <v>3</v>
      </c>
      <c r="F470" t="s">
        <v>283</v>
      </c>
    </row>
    <row r="471" spans="1:9">
      <c r="A471" t="s">
        <v>272</v>
      </c>
      <c r="B471" t="s">
        <v>10</v>
      </c>
      <c r="C471">
        <v>99</v>
      </c>
      <c r="D471" t="s">
        <v>284</v>
      </c>
      <c r="E471">
        <v>1</v>
      </c>
      <c r="F471" t="s">
        <v>285</v>
      </c>
      <c r="I471">
        <v>1</v>
      </c>
    </row>
    <row r="472" spans="1:9">
      <c r="A472" t="s">
        <v>272</v>
      </c>
      <c r="B472" t="s">
        <v>10</v>
      </c>
      <c r="C472">
        <v>99</v>
      </c>
      <c r="D472" t="s">
        <v>284</v>
      </c>
      <c r="E472">
        <v>2</v>
      </c>
      <c r="F472" t="s">
        <v>286</v>
      </c>
    </row>
    <row r="473" spans="1:9">
      <c r="A473" t="s">
        <v>272</v>
      </c>
      <c r="B473" t="s">
        <v>100</v>
      </c>
      <c r="C473">
        <v>100</v>
      </c>
      <c r="D473" t="s">
        <v>287</v>
      </c>
      <c r="E473">
        <v>1</v>
      </c>
      <c r="F473" t="s">
        <v>288</v>
      </c>
    </row>
    <row r="474" spans="1:9">
      <c r="A474" t="s">
        <v>272</v>
      </c>
      <c r="B474" t="s">
        <v>100</v>
      </c>
      <c r="C474">
        <v>100</v>
      </c>
      <c r="D474" t="s">
        <v>287</v>
      </c>
      <c r="E474">
        <v>2</v>
      </c>
      <c r="F474" t="s">
        <v>289</v>
      </c>
    </row>
    <row r="475" spans="1:9">
      <c r="A475" t="s">
        <v>272</v>
      </c>
      <c r="B475" t="s">
        <v>100</v>
      </c>
      <c r="C475">
        <v>100</v>
      </c>
      <c r="D475" t="s">
        <v>287</v>
      </c>
      <c r="E475">
        <v>3</v>
      </c>
      <c r="F475" t="s">
        <v>290</v>
      </c>
    </row>
    <row r="476" spans="1:9">
      <c r="A476" t="s">
        <v>272</v>
      </c>
      <c r="B476" t="s">
        <v>100</v>
      </c>
      <c r="C476">
        <v>101</v>
      </c>
      <c r="D476" t="s">
        <v>291</v>
      </c>
      <c r="E476">
        <v>1</v>
      </c>
      <c r="F476" t="s">
        <v>292</v>
      </c>
      <c r="I476">
        <v>1</v>
      </c>
    </row>
    <row r="477" spans="1:9">
      <c r="A477" t="s">
        <v>272</v>
      </c>
      <c r="B477" t="s">
        <v>100</v>
      </c>
      <c r="C477">
        <v>101</v>
      </c>
      <c r="D477" t="s">
        <v>291</v>
      </c>
      <c r="E477">
        <v>2</v>
      </c>
      <c r="F477" t="s">
        <v>293</v>
      </c>
    </row>
    <row r="478" spans="1:9">
      <c r="A478" t="s">
        <v>272</v>
      </c>
      <c r="B478" t="s">
        <v>100</v>
      </c>
      <c r="C478">
        <v>102</v>
      </c>
      <c r="D478" t="s">
        <v>294</v>
      </c>
      <c r="E478">
        <v>1</v>
      </c>
      <c r="F478" t="s">
        <v>295</v>
      </c>
    </row>
    <row r="479" spans="1:9">
      <c r="A479" t="s">
        <v>272</v>
      </c>
      <c r="B479" t="s">
        <v>100</v>
      </c>
      <c r="C479">
        <v>102</v>
      </c>
      <c r="D479" t="s">
        <v>294</v>
      </c>
      <c r="E479">
        <v>2</v>
      </c>
      <c r="F479" t="s">
        <v>296</v>
      </c>
    </row>
    <row r="480" spans="1:9">
      <c r="A480" t="s">
        <v>272</v>
      </c>
      <c r="B480" t="s">
        <v>67</v>
      </c>
      <c r="C480">
        <v>103</v>
      </c>
      <c r="D480" t="s">
        <v>297</v>
      </c>
      <c r="E480">
        <v>1</v>
      </c>
      <c r="F480" t="s">
        <v>298</v>
      </c>
    </row>
    <row r="481" spans="1:9">
      <c r="A481" t="s">
        <v>272</v>
      </c>
      <c r="B481" t="s">
        <v>67</v>
      </c>
      <c r="C481">
        <v>103</v>
      </c>
      <c r="D481" t="s">
        <v>297</v>
      </c>
      <c r="E481">
        <v>2</v>
      </c>
      <c r="F481" t="s">
        <v>73</v>
      </c>
    </row>
    <row r="482" spans="1:9">
      <c r="A482" t="s">
        <v>272</v>
      </c>
      <c r="B482" t="s">
        <v>67</v>
      </c>
      <c r="C482">
        <v>103</v>
      </c>
      <c r="D482" t="s">
        <v>297</v>
      </c>
      <c r="E482">
        <v>3</v>
      </c>
      <c r="F482" t="s">
        <v>299</v>
      </c>
    </row>
    <row r="483" spans="1:9">
      <c r="A483" t="s">
        <v>272</v>
      </c>
      <c r="B483" t="s">
        <v>67</v>
      </c>
      <c r="C483">
        <v>103</v>
      </c>
      <c r="D483" t="s">
        <v>297</v>
      </c>
      <c r="E483">
        <v>4</v>
      </c>
      <c r="F483" t="s">
        <v>300</v>
      </c>
      <c r="I483">
        <v>1</v>
      </c>
    </row>
    <row r="484" spans="1:9">
      <c r="A484" t="s">
        <v>272</v>
      </c>
      <c r="B484" t="s">
        <v>67</v>
      </c>
      <c r="C484">
        <v>103</v>
      </c>
      <c r="D484" t="s">
        <v>297</v>
      </c>
      <c r="E484">
        <v>5</v>
      </c>
      <c r="F484" t="s">
        <v>301</v>
      </c>
    </row>
    <row r="485" spans="1:9">
      <c r="A485" t="s">
        <v>272</v>
      </c>
      <c r="B485" t="s">
        <v>67</v>
      </c>
      <c r="C485">
        <v>104</v>
      </c>
      <c r="D485" t="s">
        <v>302</v>
      </c>
      <c r="E485">
        <v>1</v>
      </c>
      <c r="F485" t="s">
        <v>303</v>
      </c>
      <c r="I485">
        <v>1</v>
      </c>
    </row>
    <row r="486" spans="1:9">
      <c r="A486" t="s">
        <v>272</v>
      </c>
      <c r="B486" t="s">
        <v>67</v>
      </c>
      <c r="C486">
        <v>104</v>
      </c>
      <c r="D486" t="s">
        <v>302</v>
      </c>
      <c r="E486">
        <v>2</v>
      </c>
      <c r="F486" t="s">
        <v>304</v>
      </c>
    </row>
    <row r="487" spans="1:9">
      <c r="A487" t="s">
        <v>272</v>
      </c>
      <c r="B487" t="s">
        <v>67</v>
      </c>
      <c r="C487">
        <v>104</v>
      </c>
      <c r="D487" t="s">
        <v>302</v>
      </c>
      <c r="E487">
        <v>3</v>
      </c>
      <c r="F487" t="s">
        <v>305</v>
      </c>
    </row>
    <row r="488" spans="1:9">
      <c r="A488" t="s">
        <v>272</v>
      </c>
      <c r="B488" t="s">
        <v>67</v>
      </c>
      <c r="C488">
        <v>105</v>
      </c>
      <c r="D488" t="s">
        <v>306</v>
      </c>
      <c r="E488">
        <v>1</v>
      </c>
      <c r="F488" t="s">
        <v>307</v>
      </c>
    </row>
    <row r="489" spans="1:9">
      <c r="A489" t="s">
        <v>272</v>
      </c>
      <c r="B489" t="s">
        <v>67</v>
      </c>
      <c r="C489">
        <v>105</v>
      </c>
      <c r="D489" t="s">
        <v>306</v>
      </c>
      <c r="E489">
        <v>2</v>
      </c>
      <c r="F489" t="s">
        <v>308</v>
      </c>
    </row>
    <row r="490" spans="1:9">
      <c r="A490" t="s">
        <v>272</v>
      </c>
      <c r="B490" t="s">
        <v>67</v>
      </c>
      <c r="C490">
        <v>105</v>
      </c>
      <c r="D490" t="s">
        <v>306</v>
      </c>
      <c r="E490">
        <v>3</v>
      </c>
      <c r="F490" t="s">
        <v>309</v>
      </c>
    </row>
  </sheetData>
  <pageMargins left="0.7" right="0.7" top="0.75" bottom="0.75" header="0.3" footer="0.3"/>
  <pageSetup paperSize="9" orientation="portrait" horizontalDpi="203" verticalDpi="20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58229-FF92-406A-A93E-B1DAD262D909}">
  <sheetPr>
    <outlinePr summaryBelow="0" summaryRight="0"/>
  </sheetPr>
  <dimension ref="B2:T50"/>
  <sheetViews>
    <sheetView tabSelected="1" topLeftCell="A34" zoomScale="160" zoomScaleNormal="160" workbookViewId="0">
      <selection activeCell="K50" sqref="K50"/>
    </sheetView>
  </sheetViews>
  <sheetFormatPr defaultRowHeight="15" outlineLevelCol="1"/>
  <cols>
    <col min="2" max="2" width="16.42578125" customWidth="1"/>
    <col min="3" max="3" width="20.28515625" bestFit="1" customWidth="1"/>
    <col min="4" max="8" width="18.7109375" style="108" customWidth="1"/>
    <col min="9" max="9" width="13.85546875" style="108" customWidth="1"/>
    <col min="10" max="11" width="18.7109375" style="108" customWidth="1"/>
    <col min="12" max="12" width="18.7109375" style="108" customWidth="1" collapsed="1"/>
    <col min="13" max="13" width="18.42578125" style="108" hidden="1" customWidth="1" outlineLevel="1"/>
    <col min="14" max="14" width="18.140625" style="108" hidden="1" customWidth="1" outlineLevel="1"/>
    <col min="15" max="15" width="14" customWidth="1"/>
    <col min="17" max="17" width="9.140625" style="146" collapsed="1"/>
    <col min="18" max="20" width="0" hidden="1" customWidth="1" outlineLevel="1"/>
  </cols>
  <sheetData>
    <row r="2" spans="2:20" ht="30.75" customHeight="1">
      <c r="B2" s="190" t="s">
        <v>310</v>
      </c>
      <c r="C2" s="190" t="s">
        <v>311</v>
      </c>
      <c r="D2" s="190" t="s">
        <v>312</v>
      </c>
      <c r="E2" s="190"/>
      <c r="F2" s="190"/>
      <c r="G2" s="190"/>
      <c r="H2" s="190"/>
      <c r="I2" s="190"/>
      <c r="J2" s="190"/>
      <c r="K2" s="53"/>
      <c r="L2" s="53"/>
      <c r="M2" s="190" t="s">
        <v>313</v>
      </c>
      <c r="N2" s="190" t="s">
        <v>314</v>
      </c>
      <c r="O2" s="186" t="s">
        <v>315</v>
      </c>
      <c r="P2" s="186" t="s">
        <v>316</v>
      </c>
      <c r="Q2" s="187" t="s">
        <v>317</v>
      </c>
      <c r="R2" s="189" t="s">
        <v>318</v>
      </c>
      <c r="S2" s="189"/>
      <c r="T2" s="189"/>
    </row>
    <row r="3" spans="2:20" ht="45">
      <c r="B3" s="190"/>
      <c r="C3" s="190"/>
      <c r="D3" s="99" t="s">
        <v>319</v>
      </c>
      <c r="E3" s="99" t="s">
        <v>320</v>
      </c>
      <c r="F3" s="99" t="s">
        <v>321</v>
      </c>
      <c r="G3" s="99" t="s">
        <v>322</v>
      </c>
      <c r="H3" s="99" t="s">
        <v>323</v>
      </c>
      <c r="I3" s="99" t="s">
        <v>324</v>
      </c>
      <c r="J3" s="99" t="s">
        <v>325</v>
      </c>
      <c r="K3" s="99" t="s">
        <v>326</v>
      </c>
      <c r="L3" s="99" t="s">
        <v>327</v>
      </c>
      <c r="M3" s="190"/>
      <c r="N3" s="190"/>
      <c r="O3" s="186"/>
      <c r="P3" s="186"/>
      <c r="Q3" s="188"/>
      <c r="R3" s="159" t="s">
        <v>328</v>
      </c>
      <c r="S3" s="159" t="s">
        <v>329</v>
      </c>
      <c r="T3" s="159" t="s">
        <v>330</v>
      </c>
    </row>
    <row r="4" spans="2:20" ht="3.75" customHeight="1">
      <c r="B4" s="23"/>
      <c r="M4" s="110"/>
      <c r="N4" s="110"/>
    </row>
    <row r="5" spans="2:20">
      <c r="B5" s="27" t="s">
        <v>9</v>
      </c>
      <c r="C5" s="28" t="s">
        <v>331</v>
      </c>
      <c r="D5" s="100">
        <f>COUNTIFS('Reconciliation Request'!$A$2:$A$755,Summary!$B5,'Reconciliation Request'!$B$2:$B$755,Summary!$C5,'Reconciliation Request'!$F$2:$F$755,"=1")</f>
        <v>11</v>
      </c>
      <c r="E5" s="100">
        <f>COUNTIFS('Reconciliation Request'!$A$2:$A$755,Summary!$B5,'Reconciliation Request'!$B$2:$B$755,Summary!$C5,'Reconciliation Request'!$J$2:$J$755,Summary!E$3,'Reconciliation Request'!$F$2:$F$755,"=1")</f>
        <v>3</v>
      </c>
      <c r="F5" s="100">
        <f>COUNTIFS('Reconciliation Request'!$A$2:$A$755,Summary!$B5,'Reconciliation Request'!$B$2:$B$755,Summary!$C5,'Reconciliation Request'!$J$2:$J$755,Summary!F$3,'Reconciliation Request'!$F$2:$F$755,"=1")</f>
        <v>3</v>
      </c>
      <c r="G5" s="100">
        <f>COUNTIFS('Reconciliation Request'!$A$2:$A$755,Summary!$B5,'Reconciliation Request'!$B$2:$B$755,Summary!$C5,'Reconciliation Request'!$J$2:$J$755,Summary!G$3,'Reconciliation Request'!$F$2:$F$755,"=1")</f>
        <v>0</v>
      </c>
      <c r="H5" s="100">
        <f>COUNTIFS('Reconciliation Request'!$A$2:$A$755,Summary!$B5,'Reconciliation Request'!$B$2:$B$755,Summary!$C5,'Reconciliation Request'!$J$2:$J$755,Summary!H$3,'Reconciliation Request'!$F$2:$F$755,"=1")</f>
        <v>2</v>
      </c>
      <c r="I5" s="100">
        <v>0</v>
      </c>
      <c r="J5" s="100">
        <f>COUNTIFS('Reconciliation Request'!$A$2:$A$755,Summary!$B5,'Reconciliation Request'!$B$2:$B$755,Summary!$C5,'Reconciliation Request'!$H$2:$H$755,"&gt;0",'Reconciliation Request'!$F$2:$F$755,"=1")</f>
        <v>11</v>
      </c>
      <c r="K5" s="119">
        <f t="shared" ref="K5:K12" si="0">I5/D5</f>
        <v>0</v>
      </c>
      <c r="L5" s="118">
        <f>J5/D5</f>
        <v>1</v>
      </c>
      <c r="M5" s="111">
        <f>COUNTIFS('Reconciliation Request'!$A$2:$A$755,Summary!$B5,'Reconciliation Request'!$B$2:$B$755,Summary!$C5,'Reconciliation Request'!$F$2:$F$755,"&lt;&gt;1")</f>
        <v>59</v>
      </c>
      <c r="N5" s="111">
        <f>M5+D5</f>
        <v>70</v>
      </c>
      <c r="O5" s="111">
        <f>COUNTIFS('Reconciliation Request'!$A$2:$A$755,Summary!$B5,'Reconciliation Request'!$B$2:$B$755,Summary!$C5,'Reconciliation Request'!$H$2:$H$755,"&gt;0")</f>
        <v>40</v>
      </c>
      <c r="P5" s="111">
        <f t="shared" ref="P5:P12" si="1">N5-O5</f>
        <v>30</v>
      </c>
      <c r="Q5" s="147">
        <f>O5/N5</f>
        <v>0.5714285714285714</v>
      </c>
      <c r="R5" s="160">
        <f>COUNTIFS('Reconciliation Request'!$A$2:$A$755,Summary!$B5,'Reconciliation Request'!$B$2:$B$755,Summary!$C5,'Reconciliation Request'!$K$2:$K$755,R$3)</f>
        <v>42</v>
      </c>
      <c r="S5" s="160">
        <f>COUNTIFS('Reconciliation Request'!$A$2:$A$755,Summary!$B5,'Reconciliation Request'!$B$2:$B$755,Summary!$C5,'Reconciliation Request'!$K$2:$K$755,S$3)</f>
        <v>28</v>
      </c>
      <c r="T5" s="160">
        <f>COUNTIFS('Reconciliation Request'!$A$2:$A$755,Summary!$B5,'Reconciliation Request'!$B$2:$B$755,Summary!$C5,'Reconciliation Request'!$K$2:$K$755,T$3)</f>
        <v>0</v>
      </c>
    </row>
    <row r="6" spans="2:20">
      <c r="B6" s="29" t="s">
        <v>9</v>
      </c>
      <c r="C6" s="30" t="s">
        <v>332</v>
      </c>
      <c r="D6" s="101">
        <f>COUNTIFS('Reconciliation Request'!$A$2:$A$755,Summary!$B6,'Reconciliation Request'!$B$2:$B$755,Summary!$C6,'Reconciliation Request'!$F$2:$F$755,"=1")</f>
        <v>11</v>
      </c>
      <c r="E6" s="101">
        <f>COUNTIFS('Reconciliation Request'!$A$2:$A$755,Summary!$B6,'Reconciliation Request'!$B$2:$B$755,Summary!$C6,'Reconciliation Request'!$J$2:$J$755,Summary!E$3,'Reconciliation Request'!$F$2:$F$755,"=1")</f>
        <v>0</v>
      </c>
      <c r="F6" s="101">
        <f>COUNTIFS('Reconciliation Request'!$A$2:$A$755,Summary!$B6,'Reconciliation Request'!$B$2:$B$755,Summary!$C6,'Reconciliation Request'!$J$2:$J$755,Summary!F$3,'Reconciliation Request'!$F$2:$F$755,"=1")</f>
        <v>5</v>
      </c>
      <c r="G6" s="101">
        <f>COUNTIFS('Reconciliation Request'!$A$2:$A$755,Summary!$B6,'Reconciliation Request'!$B$2:$B$755,Summary!$C6,'Reconciliation Request'!$J$2:$J$755,Summary!G$3,'Reconciliation Request'!$F$2:$F$755,"=1")</f>
        <v>1</v>
      </c>
      <c r="H6" s="101">
        <f>COUNTIFS('Reconciliation Request'!$A$2:$A$755,Summary!$B6,'Reconciliation Request'!$B$2:$B$755,Summary!$C6,'Reconciliation Request'!$J$2:$J$755,Summary!H$3,'Reconciliation Request'!$F$2:$F$755,"=1")</f>
        <v>4</v>
      </c>
      <c r="I6" s="101">
        <v>1</v>
      </c>
      <c r="J6" s="101">
        <v>10</v>
      </c>
      <c r="K6" s="119">
        <f t="shared" si="0"/>
        <v>9.0909090909090912E-2</v>
      </c>
      <c r="L6" s="119">
        <f t="shared" ref="L6:L35" si="2">J6/D6</f>
        <v>0.90909090909090906</v>
      </c>
      <c r="M6" s="117">
        <f>COUNTIFS('Reconciliation Request'!$A$2:$A$755,Summary!$B6,'Reconciliation Request'!$B$2:$B$755,Summary!$C6,'Reconciliation Request'!$F$2:$F$755,"&lt;&gt;1")</f>
        <v>72</v>
      </c>
      <c r="N6" s="112">
        <f t="shared" ref="N6:N35" si="3">M6+D6</f>
        <v>83</v>
      </c>
      <c r="O6" s="112">
        <f>COUNTIFS('Reconciliation Request'!$A$2:$A$755,Summary!$B6,'Reconciliation Request'!$B$2:$B$755,Summary!$C6,'Reconciliation Request'!$H$2:$H$755,"&gt;0")</f>
        <v>54</v>
      </c>
      <c r="P6" s="112">
        <f t="shared" si="1"/>
        <v>29</v>
      </c>
      <c r="Q6" s="148">
        <f t="shared" ref="Q6:Q12" si="4">O6/N6</f>
        <v>0.6506024096385542</v>
      </c>
      <c r="R6" s="161">
        <f>COUNTIFS('Reconciliation Request'!$A$2:$A$755,Summary!$B6,'Reconciliation Request'!$B$2:$B$755,Summary!$C6,'Reconciliation Request'!$K$2:$K$755,R$3)</f>
        <v>57</v>
      </c>
      <c r="S6" s="161">
        <f>COUNTIFS('Reconciliation Request'!$A$2:$A$755,Summary!$B6,'Reconciliation Request'!$B$2:$B$755,Summary!$C6,'Reconciliation Request'!$K$2:$K$755,S$3)</f>
        <v>14</v>
      </c>
      <c r="T6" s="161">
        <f>COUNTIFS('Reconciliation Request'!$A$2:$A$755,Summary!$B6,'Reconciliation Request'!$B$2:$B$755,Summary!$C6,'Reconciliation Request'!$K$2:$K$755,T$3)</f>
        <v>9</v>
      </c>
    </row>
    <row r="7" spans="2:20">
      <c r="B7" s="29" t="s">
        <v>182</v>
      </c>
      <c r="C7" s="30" t="s">
        <v>331</v>
      </c>
      <c r="D7" s="101">
        <v>11</v>
      </c>
      <c r="E7" s="101">
        <f>COUNTIFS('Reconciliation Request'!$A$2:$A$755,Summary!$B7,'Reconciliation Request'!$B$2:$B$755,Summary!$C7,'Reconciliation Request'!$J$2:$J$755,Summary!E$3,'Reconciliation Request'!$F$2:$F$755,"=1")</f>
        <v>3</v>
      </c>
      <c r="F7" s="101">
        <f>COUNTIFS('Reconciliation Request'!$A$2:$A$755,Summary!$B7,'Reconciliation Request'!$B$2:$B$755,Summary!$C7,'Reconciliation Request'!$J$2:$J$755,Summary!F$3,'Reconciliation Request'!$F$2:$F$755,"=1")</f>
        <v>2</v>
      </c>
      <c r="G7" s="101">
        <f>COUNTIFS('Reconciliation Request'!$A$2:$A$755,Summary!$B7,'Reconciliation Request'!$B$2:$B$755,Summary!$C7,'Reconciliation Request'!$J$2:$J$755,Summary!G$3,'Reconciliation Request'!$F$2:$F$755,"=1")</f>
        <v>0</v>
      </c>
      <c r="H7" s="101">
        <f>COUNTIFS('Reconciliation Request'!$A$2:$A$755,Summary!$B7,'Reconciliation Request'!$B$2:$B$755,Summary!$C7,'Reconciliation Request'!$J$2:$J$755,Summary!H$3,'Reconciliation Request'!$F$2:$F$755,"=1")</f>
        <v>7</v>
      </c>
      <c r="I7" s="101">
        <v>0</v>
      </c>
      <c r="J7" s="101">
        <v>11</v>
      </c>
      <c r="K7" s="119">
        <f t="shared" si="0"/>
        <v>0</v>
      </c>
      <c r="L7" s="119">
        <f t="shared" si="2"/>
        <v>1</v>
      </c>
      <c r="M7" s="117">
        <f>COUNTIFS('Reconciliation Request'!$A$2:$A$755,Summary!$B7,'Reconciliation Request'!$B$2:$B$755,Summary!$C7,'Reconciliation Request'!$F$2:$F$755,"&lt;&gt;1")</f>
        <v>44</v>
      </c>
      <c r="N7" s="112">
        <f t="shared" si="3"/>
        <v>55</v>
      </c>
      <c r="O7" s="112">
        <f>COUNTIFS('Reconciliation Request'!$A$2:$A$755,Summary!$B7,'Reconciliation Request'!$B$2:$B$755,Summary!$C7,'Reconciliation Request'!$H$2:$H$755,"&gt;0")</f>
        <v>34</v>
      </c>
      <c r="P7" s="112">
        <f t="shared" si="1"/>
        <v>21</v>
      </c>
      <c r="Q7" s="148">
        <f t="shared" si="4"/>
        <v>0.61818181818181817</v>
      </c>
      <c r="R7" s="161">
        <f>COUNTIFS('Reconciliation Request'!$A$2:$A$755,Summary!$B7,'Reconciliation Request'!$B$2:$B$755,Summary!$C7,'Reconciliation Request'!$K$2:$K$755,R$3)</f>
        <v>38</v>
      </c>
      <c r="S7" s="161">
        <f>COUNTIFS('Reconciliation Request'!$A$2:$A$755,Summary!$B7,'Reconciliation Request'!$B$2:$B$755,Summary!$C7,'Reconciliation Request'!$K$2:$K$755,S$3)</f>
        <v>17</v>
      </c>
      <c r="T7" s="161">
        <f>COUNTIFS('Reconciliation Request'!$A$2:$A$755,Summary!$B7,'Reconciliation Request'!$B$2:$B$755,Summary!$C7,'Reconciliation Request'!$K$2:$K$755,T$3)</f>
        <v>1</v>
      </c>
    </row>
    <row r="8" spans="2:20">
      <c r="B8" s="29" t="s">
        <v>182</v>
      </c>
      <c r="C8" s="30" t="s">
        <v>332</v>
      </c>
      <c r="D8" s="101">
        <f>COUNTIFS('Reconciliation Request'!$A$2:$A$755,Summary!$B8,'Reconciliation Request'!$B$2:$B$755,Summary!$C8,'Reconciliation Request'!$F$2:$F$755,"=1")</f>
        <v>7</v>
      </c>
      <c r="E8" s="101">
        <f>COUNTIFS('Reconciliation Request'!$A$2:$A$755,Summary!$B8,'Reconciliation Request'!$B$2:$B$755,Summary!$C8,'Reconciliation Request'!$J$2:$J$755,Summary!E$3,'Reconciliation Request'!$F$2:$F$755,"=1")</f>
        <v>1</v>
      </c>
      <c r="F8" s="101">
        <f>COUNTIFS('Reconciliation Request'!$A$2:$A$755,Summary!$B8,'Reconciliation Request'!$B$2:$B$755,Summary!$C8,'Reconciliation Request'!$J$2:$J$755,Summary!F$3,'Reconciliation Request'!$F$2:$F$755,"=1")</f>
        <v>4</v>
      </c>
      <c r="G8" s="101">
        <f>COUNTIFS('Reconciliation Request'!$A$2:$A$755,Summary!$B8,'Reconciliation Request'!$B$2:$B$755,Summary!$C8,'Reconciliation Request'!$J$2:$J$755,Summary!G$3,'Reconciliation Request'!$F$2:$F$755,"=1")</f>
        <v>0</v>
      </c>
      <c r="H8" s="101">
        <f>COUNTIFS('Reconciliation Request'!$A$2:$A$755,Summary!$B8,'Reconciliation Request'!$B$2:$B$755,Summary!$C8,'Reconciliation Request'!$J$2:$J$755,Summary!H$3,'Reconciliation Request'!$F$2:$F$755,"=1")</f>
        <v>2</v>
      </c>
      <c r="I8" s="101">
        <v>1</v>
      </c>
      <c r="J8" s="101">
        <f>COUNTIFS('Reconciliation Request'!$A$2:$A$755,Summary!$B8,'Reconciliation Request'!$B$2:$B$755,Summary!$C8,'Reconciliation Request'!$H$2:$H$755,"&gt;0",'Reconciliation Request'!$F$2:$F$755,"=1")</f>
        <v>6</v>
      </c>
      <c r="K8" s="119">
        <f t="shared" si="0"/>
        <v>0.14285714285714285</v>
      </c>
      <c r="L8" s="119">
        <f t="shared" si="2"/>
        <v>0.8571428571428571</v>
      </c>
      <c r="M8" s="117">
        <f>COUNTIFS('Reconciliation Request'!$A$2:$A$755,Summary!$B8,'Reconciliation Request'!$B$2:$B$755,Summary!$C8,'Reconciliation Request'!$F$2:$F$755,"&lt;&gt;1")</f>
        <v>61</v>
      </c>
      <c r="N8" s="112">
        <f t="shared" si="3"/>
        <v>68</v>
      </c>
      <c r="O8" s="112">
        <f>COUNTIFS('Reconciliation Request'!$A$2:$A$755,Summary!$B8,'Reconciliation Request'!$B$2:$B$755,Summary!$C8,'Reconciliation Request'!$H$2:$H$755,"&gt;0")</f>
        <v>49</v>
      </c>
      <c r="P8" s="112">
        <f t="shared" si="1"/>
        <v>19</v>
      </c>
      <c r="Q8" s="148">
        <f t="shared" si="4"/>
        <v>0.72058823529411764</v>
      </c>
      <c r="R8" s="161">
        <f>COUNTIFS('Reconciliation Request'!$A$2:$A$755,Summary!$B8,'Reconciliation Request'!$B$2:$B$755,Summary!$C8,'Reconciliation Request'!$K$2:$K$755,R$3)</f>
        <v>50</v>
      </c>
      <c r="S8" s="161">
        <f>COUNTIFS('Reconciliation Request'!$A$2:$A$755,Summary!$B8,'Reconciliation Request'!$B$2:$B$755,Summary!$C8,'Reconciliation Request'!$K$2:$K$755,S$3)</f>
        <v>14</v>
      </c>
      <c r="T8" s="161">
        <f>COUNTIFS('Reconciliation Request'!$A$2:$A$755,Summary!$B8,'Reconciliation Request'!$B$2:$B$755,Summary!$C8,'Reconciliation Request'!$K$2:$K$755,T$3)</f>
        <v>4</v>
      </c>
    </row>
    <row r="9" spans="2:20">
      <c r="B9" s="29" t="s">
        <v>239</v>
      </c>
      <c r="C9" s="30" t="s">
        <v>331</v>
      </c>
      <c r="D9" s="101">
        <f>COUNTIFS('Reconciliation Request'!$A$2:$A$755,Summary!$B9,'Reconciliation Request'!$B$2:$B$755,Summary!$C9,'Reconciliation Request'!$F$2:$F$755,"=1")</f>
        <v>7</v>
      </c>
      <c r="E9" s="101">
        <f>COUNTIFS('Reconciliation Request'!$A$2:$A$755,Summary!$B9,'Reconciliation Request'!$B$2:$B$755,Summary!$C9,'Reconciliation Request'!$J$2:$J$755,Summary!E$3,'Reconciliation Request'!$F$2:$F$755,"=1")</f>
        <v>1</v>
      </c>
      <c r="F9" s="101">
        <f>COUNTIFS('Reconciliation Request'!$A$2:$A$755,Summary!$B9,'Reconciliation Request'!$B$2:$B$755,Summary!$C9,'Reconciliation Request'!$J$2:$J$755,Summary!F$3,'Reconciliation Request'!$F$2:$F$755,"=1")</f>
        <v>2</v>
      </c>
      <c r="G9" s="101">
        <f>COUNTIFS('Reconciliation Request'!$A$2:$A$755,Summary!$B9,'Reconciliation Request'!$B$2:$B$755,Summary!$C9,'Reconciliation Request'!$J$2:$J$755,Summary!G$3,'Reconciliation Request'!$F$2:$F$755,"=1")</f>
        <v>0</v>
      </c>
      <c r="H9" s="101">
        <f>COUNTIFS('Reconciliation Request'!$A$2:$A$755,Summary!$B9,'Reconciliation Request'!$B$2:$B$755,Summary!$C9,'Reconciliation Request'!$J$2:$J$755,Summary!H$3,'Reconciliation Request'!$F$2:$F$755,"=1")</f>
        <v>4</v>
      </c>
      <c r="I9" s="101">
        <v>0</v>
      </c>
      <c r="J9" s="101">
        <f>COUNTIFS('Reconciliation Request'!$A$2:$A$755,Summary!$B9,'Reconciliation Request'!$B$2:$B$755,Summary!$C9,'Reconciliation Request'!$H$2:$H$755,"&gt;0",'Reconciliation Request'!$F$2:$F$755,"=1")</f>
        <v>7</v>
      </c>
      <c r="K9" s="119">
        <f t="shared" si="0"/>
        <v>0</v>
      </c>
      <c r="L9" s="119">
        <f t="shared" si="2"/>
        <v>1</v>
      </c>
      <c r="M9" s="117">
        <f>COUNTIFS('Reconciliation Request'!$A$2:$A$755,Summary!$B9,'Reconciliation Request'!$B$2:$B$755,Summary!$C9,'Reconciliation Request'!$F$2:$F$755,"&lt;&gt;1")</f>
        <v>30</v>
      </c>
      <c r="N9" s="112">
        <f t="shared" si="3"/>
        <v>37</v>
      </c>
      <c r="O9" s="112">
        <f>COUNTIFS('Reconciliation Request'!$A$2:$A$755,Summary!$B9,'Reconciliation Request'!$B$2:$B$755,Summary!$C9,'Reconciliation Request'!$H$2:$H$755,"&gt;0")</f>
        <v>22</v>
      </c>
      <c r="P9" s="112">
        <f t="shared" si="1"/>
        <v>15</v>
      </c>
      <c r="Q9" s="148">
        <f t="shared" si="4"/>
        <v>0.59459459459459463</v>
      </c>
      <c r="R9" s="161">
        <f>COUNTIFS('Reconciliation Request'!$A$2:$A$755,Summary!$B9,'Reconciliation Request'!$B$2:$B$755,Summary!$C9,'Reconciliation Request'!$K$2:$K$755,R$3)</f>
        <v>23</v>
      </c>
      <c r="S9" s="161">
        <f>COUNTIFS('Reconciliation Request'!$A$2:$A$755,Summary!$B9,'Reconciliation Request'!$B$2:$B$755,Summary!$C9,'Reconciliation Request'!$K$2:$K$755,S$3)</f>
        <v>11</v>
      </c>
      <c r="T9" s="161">
        <f>COUNTIFS('Reconciliation Request'!$A$2:$A$755,Summary!$B9,'Reconciliation Request'!$B$2:$B$755,Summary!$C9,'Reconciliation Request'!$K$2:$K$755,T$3)</f>
        <v>3</v>
      </c>
    </row>
    <row r="10" spans="2:20">
      <c r="B10" s="29" t="s">
        <v>239</v>
      </c>
      <c r="C10" s="30" t="s">
        <v>332</v>
      </c>
      <c r="D10" s="101">
        <f>COUNTIFS('Reconciliation Request'!$A$2:$A$755,Summary!$B10,'Reconciliation Request'!$B$2:$B$755,Summary!$C10,'Reconciliation Request'!$F$2:$F$755,"=1")</f>
        <v>8</v>
      </c>
      <c r="E10" s="101">
        <f>COUNTIFS('Reconciliation Request'!$A$2:$A$755,Summary!$B10,'Reconciliation Request'!$B$2:$B$755,Summary!$C10,'Reconciliation Request'!$J$2:$J$755,Summary!E$3,'Reconciliation Request'!$F$2:$F$755,"=1")</f>
        <v>1</v>
      </c>
      <c r="F10" s="101">
        <f>COUNTIFS('Reconciliation Request'!$A$2:$A$755,Summary!$B10,'Reconciliation Request'!$B$2:$B$755,Summary!$C10,'Reconciliation Request'!$J$2:$J$755,Summary!F$3,'Reconciliation Request'!$F$2:$F$755,"=1")</f>
        <v>3</v>
      </c>
      <c r="G10" s="101">
        <f>COUNTIFS('Reconciliation Request'!$A$2:$A$755,Summary!$B10,'Reconciliation Request'!$B$2:$B$755,Summary!$C10,'Reconciliation Request'!$J$2:$J$755,Summary!G$3,'Reconciliation Request'!$F$2:$F$755,"=1")</f>
        <v>0</v>
      </c>
      <c r="H10" s="101">
        <f>COUNTIFS('Reconciliation Request'!$A$2:$A$755,Summary!$B10,'Reconciliation Request'!$B$2:$B$755,Summary!$C10,'Reconciliation Request'!$J$2:$J$755,Summary!H$3,'Reconciliation Request'!$F$2:$F$755,"=1")</f>
        <v>4</v>
      </c>
      <c r="I10" s="101">
        <v>1</v>
      </c>
      <c r="J10" s="101">
        <f>COUNTIFS('Reconciliation Request'!$A$2:$A$755,Summary!$B10,'Reconciliation Request'!$B$2:$B$755,Summary!$C10,'Reconciliation Request'!$H$2:$H$755,"&gt;0",'Reconciliation Request'!$F$2:$F$755,"=1")</f>
        <v>7</v>
      </c>
      <c r="K10" s="119">
        <f t="shared" si="0"/>
        <v>0.125</v>
      </c>
      <c r="L10" s="119">
        <f t="shared" si="2"/>
        <v>0.875</v>
      </c>
      <c r="M10" s="117">
        <f>COUNTIFS('Reconciliation Request'!$A$2:$A$755,Summary!$B10,'Reconciliation Request'!$B$2:$B$755,Summary!$C10,'Reconciliation Request'!$F$2:$F$755,"&lt;&gt;1")</f>
        <v>49</v>
      </c>
      <c r="N10" s="112">
        <f t="shared" si="3"/>
        <v>57</v>
      </c>
      <c r="O10" s="112">
        <f>COUNTIFS('Reconciliation Request'!$A$2:$A$755,Summary!$B10,'Reconciliation Request'!$B$2:$B$755,Summary!$C10,'Reconciliation Request'!$H$2:$H$755,"&gt;0")</f>
        <v>25</v>
      </c>
      <c r="P10" s="112">
        <f t="shared" si="1"/>
        <v>32</v>
      </c>
      <c r="Q10" s="148">
        <f t="shared" si="4"/>
        <v>0.43859649122807015</v>
      </c>
      <c r="R10" s="161">
        <f>COUNTIFS('Reconciliation Request'!$A$2:$A$755,Summary!$B10,'Reconciliation Request'!$B$2:$B$755,Summary!$C10,'Reconciliation Request'!$K$2:$K$755,R$3)</f>
        <v>29</v>
      </c>
      <c r="S10" s="161">
        <f>COUNTIFS('Reconciliation Request'!$A$2:$A$755,Summary!$B10,'Reconciliation Request'!$B$2:$B$755,Summary!$C10,'Reconciliation Request'!$K$2:$K$755,S$3)</f>
        <v>28</v>
      </c>
      <c r="T10" s="161">
        <f>COUNTIFS('Reconciliation Request'!$A$2:$A$755,Summary!$B10,'Reconciliation Request'!$B$2:$B$755,Summary!$C10,'Reconciliation Request'!$K$2:$K$755,T$3)</f>
        <v>0</v>
      </c>
    </row>
    <row r="11" spans="2:20">
      <c r="B11" s="29" t="s">
        <v>272</v>
      </c>
      <c r="C11" s="30" t="s">
        <v>331</v>
      </c>
      <c r="D11" s="101">
        <f>COUNTIFS('Reconciliation Request'!$A$2:$A$755,Summary!$B11,'Reconciliation Request'!$B$2:$B$755,Summary!$C11,'Reconciliation Request'!$F$2:$F$755,"=1")</f>
        <v>6</v>
      </c>
      <c r="E11" s="101">
        <f>COUNTIFS('Reconciliation Request'!$A$2:$A$755,Summary!$B11,'Reconciliation Request'!$B$2:$B$755,Summary!$C11,'Reconciliation Request'!$J$2:$J$755,Summary!E$3,'Reconciliation Request'!$F$2:$F$755,"=1")</f>
        <v>0</v>
      </c>
      <c r="F11" s="101">
        <f>COUNTIFS('Reconciliation Request'!$A$2:$A$755,Summary!$B11,'Reconciliation Request'!$B$2:$B$755,Summary!$C11,'Reconciliation Request'!$J$2:$J$755,Summary!F$3,'Reconciliation Request'!$F$2:$F$755,"=1")</f>
        <v>1</v>
      </c>
      <c r="G11" s="101">
        <f>COUNTIFS('Reconciliation Request'!$A$2:$A$755,Summary!$B11,'Reconciliation Request'!$B$2:$B$755,Summary!$C11,'Reconciliation Request'!$J$2:$J$755,Summary!G$3,'Reconciliation Request'!$F$2:$F$755,"=1")</f>
        <v>1</v>
      </c>
      <c r="H11" s="101">
        <f>COUNTIFS('Reconciliation Request'!$A$2:$A$755,Summary!$B11,'Reconciliation Request'!$B$2:$B$755,Summary!$C11,'Reconciliation Request'!$J$2:$J$755,Summary!H$3,'Reconciliation Request'!$F$2:$F$755,"=1")</f>
        <v>4</v>
      </c>
      <c r="I11" s="101">
        <v>3</v>
      </c>
      <c r="J11" s="101">
        <f>COUNTIFS('Reconciliation Request'!$A$2:$A$755,Summary!$B11,'Reconciliation Request'!$B$2:$B$755,Summary!$C11,'Reconciliation Request'!$H$2:$H$755,"&gt;0",'Reconciliation Request'!$F$2:$F$755,"=1")</f>
        <v>3</v>
      </c>
      <c r="K11" s="119">
        <f t="shared" si="0"/>
        <v>0.5</v>
      </c>
      <c r="L11" s="119">
        <f t="shared" si="2"/>
        <v>0.5</v>
      </c>
      <c r="M11" s="117">
        <f>COUNTIFS('Reconciliation Request'!$A$2:$A$755,Summary!$B11,'Reconciliation Request'!$B$2:$B$755,Summary!$C11,'Reconciliation Request'!$F$2:$F$755,"&lt;&gt;1")</f>
        <v>16</v>
      </c>
      <c r="N11" s="112">
        <f t="shared" si="3"/>
        <v>22</v>
      </c>
      <c r="O11" s="112">
        <f>COUNTIFS('Reconciliation Request'!$A$2:$A$755,Summary!$B11,'Reconciliation Request'!$B$2:$B$755,Summary!$C11,'Reconciliation Request'!$H$2:$H$755,"&gt;0")</f>
        <v>5</v>
      </c>
      <c r="P11" s="112">
        <f t="shared" si="1"/>
        <v>17</v>
      </c>
      <c r="Q11" s="148">
        <f t="shared" si="4"/>
        <v>0.22727272727272727</v>
      </c>
      <c r="R11" s="161">
        <f>COUNTIFS('Reconciliation Request'!$A$2:$A$755,Summary!$B11,'Reconciliation Request'!$B$2:$B$755,Summary!$C11,'Reconciliation Request'!$K$2:$K$755,R$3)</f>
        <v>9</v>
      </c>
      <c r="S11" s="161">
        <f>COUNTIFS('Reconciliation Request'!$A$2:$A$755,Summary!$B11,'Reconciliation Request'!$B$2:$B$755,Summary!$C11,'Reconciliation Request'!$K$2:$K$755,S$3)</f>
        <v>9</v>
      </c>
      <c r="T11" s="161">
        <f>COUNTIFS('Reconciliation Request'!$A$2:$A$755,Summary!$B11,'Reconciliation Request'!$B$2:$B$755,Summary!$C11,'Reconciliation Request'!$K$2:$K$755,T$3)</f>
        <v>4</v>
      </c>
    </row>
    <row r="12" spans="2:20">
      <c r="B12" s="29" t="s">
        <v>272</v>
      </c>
      <c r="C12" s="30" t="s">
        <v>332</v>
      </c>
      <c r="D12" s="101">
        <f>COUNTIFS('Reconciliation Request'!$A$2:$A$755,Summary!$B12,'Reconciliation Request'!$B$2:$B$755,Summary!$C12,'Reconciliation Request'!$F$2:$F$755,"=1")</f>
        <v>6</v>
      </c>
      <c r="E12" s="101">
        <f>COUNTIFS('Reconciliation Request'!$A$2:$A$755,Summary!$B12,'Reconciliation Request'!$B$2:$B$755,Summary!$C12,'Reconciliation Request'!$J$2:$J$755,Summary!E$3,'Reconciliation Request'!$F$2:$F$755,"=1")</f>
        <v>0</v>
      </c>
      <c r="F12" s="101">
        <f>COUNTIFS('Reconciliation Request'!$A$2:$A$755,Summary!$B12,'Reconciliation Request'!$B$2:$B$755,Summary!$C12,'Reconciliation Request'!$J$2:$J$755,Summary!F$3,'Reconciliation Request'!$F$2:$F$755,"=1")</f>
        <v>2</v>
      </c>
      <c r="G12" s="101">
        <f>COUNTIFS('Reconciliation Request'!$A$2:$A$755,Summary!$B12,'Reconciliation Request'!$B$2:$B$755,Summary!$C12,'Reconciliation Request'!$J$2:$J$755,Summary!G$3,'Reconciliation Request'!$F$2:$F$755,"=1")</f>
        <v>0</v>
      </c>
      <c r="H12" s="101">
        <f>COUNTIFS('Reconciliation Request'!$A$2:$A$755,Summary!$B12,'Reconciliation Request'!$B$2:$B$755,Summary!$C12,'Reconciliation Request'!$J$2:$J$755,Summary!H$3,'Reconciliation Request'!$F$2:$F$755,"=1")</f>
        <v>4</v>
      </c>
      <c r="I12" s="101">
        <v>2</v>
      </c>
      <c r="J12" s="101">
        <f>COUNTIFS('Reconciliation Request'!$A$2:$A$755,Summary!$B12,'Reconciliation Request'!$B$2:$B$755,Summary!$C12,'Reconciliation Request'!$H$2:$H$755,"&gt;0",'Reconciliation Request'!$F$2:$F$755,"=1")</f>
        <v>4</v>
      </c>
      <c r="K12" s="119">
        <f t="shared" si="0"/>
        <v>0.33333333333333331</v>
      </c>
      <c r="L12" s="119">
        <f t="shared" si="2"/>
        <v>0.66666666666666663</v>
      </c>
      <c r="M12" s="117">
        <f>COUNTIFS('Reconciliation Request'!$A$2:$A$755,Summary!$B12,'Reconciliation Request'!$B$2:$B$755,Summary!$C12,'Reconciliation Request'!$F$2:$F$755,"&lt;&gt;1")</f>
        <v>13</v>
      </c>
      <c r="N12" s="112">
        <f t="shared" si="3"/>
        <v>19</v>
      </c>
      <c r="O12" s="112">
        <f>COUNTIFS('Reconciliation Request'!$A$2:$A$755,Summary!$B12,'Reconciliation Request'!$B$2:$B$755,Summary!$C12,'Reconciliation Request'!$H$2:$H$755,"&gt;0")</f>
        <v>4</v>
      </c>
      <c r="P12" s="112">
        <f t="shared" si="1"/>
        <v>15</v>
      </c>
      <c r="Q12" s="149">
        <f t="shared" si="4"/>
        <v>0.21052631578947367</v>
      </c>
      <c r="R12" s="162">
        <f>COUNTIFS('Reconciliation Request'!$A$2:$A$755,Summary!$B12,'Reconciliation Request'!$B$2:$B$755,Summary!$C12,'Reconciliation Request'!$K$2:$K$755,R$3)</f>
        <v>5</v>
      </c>
      <c r="S12" s="162">
        <f>COUNTIFS('Reconciliation Request'!$A$2:$A$755,Summary!$B12,'Reconciliation Request'!$B$2:$B$755,Summary!$C12,'Reconciliation Request'!$K$2:$K$755,S$3)</f>
        <v>12</v>
      </c>
      <c r="T12" s="162">
        <f>COUNTIFS('Reconciliation Request'!$A$2:$A$755,Summary!$B12,'Reconciliation Request'!$B$2:$B$755,Summary!$C12,'Reconciliation Request'!$K$2:$K$755,T$3)</f>
        <v>2</v>
      </c>
    </row>
    <row r="13" spans="2:20" ht="2.25" customHeight="1">
      <c r="B13" s="24"/>
      <c r="C13" s="25"/>
      <c r="D13" s="109"/>
      <c r="E13" s="109"/>
      <c r="F13" s="109"/>
      <c r="G13" s="109"/>
      <c r="H13" s="109"/>
      <c r="I13" s="109"/>
      <c r="J13" s="109">
        <f>COUNTIFS('Reconciliation Request'!$A$2:$A$755,Summary!$B13,'Reconciliation Request'!$B$2:$B$755,Summary!$C13,'Reconciliation Request'!$H$2:$H$755,"&gt;0",'Reconciliation Request'!$F$2:$F$755,"=1")</f>
        <v>0</v>
      </c>
      <c r="K13" s="109"/>
      <c r="L13" s="120"/>
      <c r="M13" s="113"/>
      <c r="N13" s="113">
        <f t="shared" si="3"/>
        <v>0</v>
      </c>
    </row>
    <row r="14" spans="2:20" ht="3" customHeight="1">
      <c r="B14" s="23"/>
      <c r="J14" s="108">
        <f>COUNTIFS('Reconciliation Request'!$A$2:$A$755,Summary!$B14,'Reconciliation Request'!$B$2:$B$755,Summary!$C14,'Reconciliation Request'!$H$2:$H$755,"&gt;0",'Reconciliation Request'!$F$2:$F$755,"=1")</f>
        <v>0</v>
      </c>
      <c r="L14" s="121"/>
      <c r="M14" s="110"/>
      <c r="N14" s="110">
        <f t="shared" si="3"/>
        <v>0</v>
      </c>
    </row>
    <row r="15" spans="2:20">
      <c r="B15" s="31" t="s">
        <v>182</v>
      </c>
      <c r="C15" s="32" t="s">
        <v>333</v>
      </c>
      <c r="D15" s="105">
        <f>COUNTIFS('Reconciliation Request'!$A$2:$A$755,Summary!$B15,'Reconciliation Request'!$B$2:$B$755,Summary!$C15,'Reconciliation Request'!$F$2:$F$755,"=1")</f>
        <v>4</v>
      </c>
      <c r="E15" s="105">
        <f>COUNTIFS('Reconciliation Request'!$A$2:$A$755,Summary!$B15,'Reconciliation Request'!$B$2:$B$755,Summary!$C15,'Reconciliation Request'!$J$2:$J$755,Summary!E$3,'Reconciliation Request'!$F$2:$F$755,"=1")</f>
        <v>0</v>
      </c>
      <c r="F15" s="105">
        <f>COUNTIFS('Reconciliation Request'!$A$2:$A$755,Summary!$B15,'Reconciliation Request'!$B$2:$B$755,Summary!$C15,'Reconciliation Request'!$J$2:$J$755,Summary!F$3,'Reconciliation Request'!$F$2:$F$755,"=1")</f>
        <v>0</v>
      </c>
      <c r="G15" s="105">
        <f>COUNTIFS('Reconciliation Request'!$A$2:$A$755,Summary!$B15,'Reconciliation Request'!$B$2:$B$755,Summary!$C15,'Reconciliation Request'!$J$2:$J$755,Summary!G$3,'Reconciliation Request'!$F$2:$F$755,"=1")</f>
        <v>0</v>
      </c>
      <c r="H15" s="105">
        <f>COUNTIFS('Reconciliation Request'!$A$2:$A$755,Summary!$B15,'Reconciliation Request'!$B$2:$B$755,Summary!$C15,'Reconciliation Request'!$J$2:$J$755,Summary!H$3,'Reconciliation Request'!$F$2:$F$755,"=1")</f>
        <v>4</v>
      </c>
      <c r="I15" s="105">
        <v>0</v>
      </c>
      <c r="J15" s="125">
        <v>4</v>
      </c>
      <c r="K15" s="167">
        <f t="shared" ref="K15:K35" si="5">I15/D15</f>
        <v>0</v>
      </c>
      <c r="L15" s="122">
        <f t="shared" si="2"/>
        <v>1</v>
      </c>
      <c r="M15" s="114">
        <f>COUNTIFS('Reconciliation Request'!$A$2:$A$755,Summary!$B15,'Reconciliation Request'!$B$2:$B$755,Summary!$C15,'Reconciliation Request'!$F$2:$F$755,"&lt;&gt;1")</f>
        <v>40</v>
      </c>
      <c r="N15" s="114">
        <f>M15+D15</f>
        <v>44</v>
      </c>
      <c r="O15" s="114">
        <f>COUNTIFS('Reconciliation Request'!$A$2:$A$755,Summary!$B15,'Reconciliation Request'!$B$2:$B$755,Summary!$C15,'Reconciliation Request'!$H$2:$H$755,"&gt;0")</f>
        <v>23</v>
      </c>
      <c r="P15" s="114">
        <f t="shared" ref="P15:P35" si="6">N15-O15</f>
        <v>21</v>
      </c>
      <c r="Q15" s="150">
        <f t="shared" ref="Q15:Q35" si="7">O15/N15</f>
        <v>0.52272727272727271</v>
      </c>
      <c r="R15" s="163">
        <f>COUNTIFS('Reconciliation Request'!$A$2:$A$755,Summary!$B15,'Reconciliation Request'!$B$2:$B$755,Summary!$C15,'Reconciliation Request'!$K$2:$K$755,R$3)</f>
        <v>24</v>
      </c>
      <c r="S15" s="163">
        <f>COUNTIFS('Reconciliation Request'!$A$2:$A$755,Summary!$B15,'Reconciliation Request'!$B$2:$B$755,Summary!$C15,'Reconciliation Request'!$K$2:$K$755,S$3)</f>
        <v>17</v>
      </c>
      <c r="T15" s="163">
        <f>COUNTIFS('Reconciliation Request'!$A$2:$A$755,Summary!$B15,'Reconciliation Request'!$B$2:$B$755,Summary!$C15,'Reconciliation Request'!$K$2:$K$755,T$3)</f>
        <v>3</v>
      </c>
    </row>
    <row r="16" spans="2:20">
      <c r="B16" s="33" t="s">
        <v>182</v>
      </c>
      <c r="C16" s="106" t="s">
        <v>334</v>
      </c>
      <c r="D16" s="104">
        <f>COUNTIFS('Reconciliation Request'!$A$2:$A$755,Summary!$B16,'Reconciliation Request'!$B$2:$B$755,Summary!$C16,'Reconciliation Request'!$F$2:$F$755,"=1")</f>
        <v>3</v>
      </c>
      <c r="E16" s="104">
        <f>COUNTIFS('Reconciliation Request'!$A$2:$A$755,Summary!$B16,'Reconciliation Request'!$B$2:$B$755,Summary!$C16,'Reconciliation Request'!$J$2:$J$755,Summary!E$3,'Reconciliation Request'!$F$2:$F$755,"=1")</f>
        <v>0</v>
      </c>
      <c r="F16" s="104">
        <f>COUNTIFS('Reconciliation Request'!$A$2:$A$755,Summary!$B16,'Reconciliation Request'!$B$2:$B$755,Summary!$C16,'Reconciliation Request'!$J$2:$J$755,Summary!F$3,'Reconciliation Request'!$F$2:$F$755,"=1")</f>
        <v>0</v>
      </c>
      <c r="G16" s="104">
        <f>COUNTIFS('Reconciliation Request'!$A$2:$A$755,Summary!$B16,'Reconciliation Request'!$B$2:$B$755,Summary!$C16,'Reconciliation Request'!$J$2:$J$755,Summary!G$3,'Reconciliation Request'!$F$2:$F$755,"=1")</f>
        <v>0</v>
      </c>
      <c r="H16" s="104">
        <f>COUNTIFS('Reconciliation Request'!$A$2:$A$755,Summary!$B16,'Reconciliation Request'!$B$2:$B$755,Summary!$C16,'Reconciliation Request'!$J$2:$J$755,Summary!H$3,'Reconciliation Request'!$F$2:$F$755,"=1")</f>
        <v>3</v>
      </c>
      <c r="I16" s="104">
        <v>1</v>
      </c>
      <c r="J16" s="126">
        <v>3</v>
      </c>
      <c r="K16" s="168">
        <f t="shared" si="5"/>
        <v>0.33333333333333331</v>
      </c>
      <c r="L16" s="123">
        <f t="shared" si="2"/>
        <v>1</v>
      </c>
      <c r="M16" s="115">
        <f>COUNTIFS('Reconciliation Request'!$A$2:$A$755,Summary!$B16,'Reconciliation Request'!$B$2:$B$755,Summary!$C16,'Reconciliation Request'!$F$2:$F$755,"&lt;&gt;1")</f>
        <v>20</v>
      </c>
      <c r="N16" s="115">
        <f t="shared" si="3"/>
        <v>23</v>
      </c>
      <c r="O16" s="115">
        <f>COUNTIFS('Reconciliation Request'!$A$2:$A$755,Summary!$B16,'Reconciliation Request'!$B$2:$B$755,Summary!$C16,'Reconciliation Request'!$H$2:$H$755,"&gt;0")</f>
        <v>6</v>
      </c>
      <c r="P16" s="115">
        <f t="shared" si="6"/>
        <v>17</v>
      </c>
      <c r="Q16" s="151">
        <f t="shared" si="7"/>
        <v>0.2608695652173913</v>
      </c>
      <c r="R16" s="164">
        <f>COUNTIFS('Reconciliation Request'!$A$2:$A$755,Summary!$B16,'Reconciliation Request'!$B$2:$B$755,Summary!$C16,'Reconciliation Request'!$K$2:$K$755,R$3)</f>
        <v>16</v>
      </c>
      <c r="S16" s="164">
        <f>COUNTIFS('Reconciliation Request'!$A$2:$A$755,Summary!$B16,'Reconciliation Request'!$B$2:$B$755,Summary!$C16,'Reconciliation Request'!$K$2:$K$755,S$3)</f>
        <v>6</v>
      </c>
      <c r="T16" s="164">
        <f>COUNTIFS('Reconciliation Request'!$A$2:$A$755,Summary!$B16,'Reconciliation Request'!$B$2:$B$755,Summary!$C16,'Reconciliation Request'!$K$2:$K$755,T$3)</f>
        <v>1</v>
      </c>
    </row>
    <row r="17" spans="2:20">
      <c r="B17" s="33" t="s">
        <v>182</v>
      </c>
      <c r="C17" s="106" t="s">
        <v>335</v>
      </c>
      <c r="D17" s="104">
        <f>COUNTIFS('Reconciliation Request'!$A$2:$A$755,Summary!$B17,'Reconciliation Request'!$B$2:$B$755,Summary!$C17,'Reconciliation Request'!$F$2:$F$755,"=1")</f>
        <v>3</v>
      </c>
      <c r="E17" s="104">
        <f>COUNTIFS('Reconciliation Request'!$A$2:$A$755,Summary!$B17,'Reconciliation Request'!$B$2:$B$755,Summary!$C17,'Reconciliation Request'!$J$2:$J$755,Summary!E$3,'Reconciliation Request'!$F$2:$F$755,"=1")</f>
        <v>0</v>
      </c>
      <c r="F17" s="104">
        <f>COUNTIFS('Reconciliation Request'!$A$2:$A$755,Summary!$B17,'Reconciliation Request'!$B$2:$B$755,Summary!$C17,'Reconciliation Request'!$J$2:$J$755,Summary!F$3,'Reconciliation Request'!$F$2:$F$755,"=1")</f>
        <v>0</v>
      </c>
      <c r="G17" s="104">
        <f>COUNTIFS('Reconciliation Request'!$A$2:$A$755,Summary!$B17,'Reconciliation Request'!$B$2:$B$755,Summary!$C17,'Reconciliation Request'!$J$2:$J$755,Summary!G$3,'Reconciliation Request'!$F$2:$F$755,"=1")</f>
        <v>0</v>
      </c>
      <c r="H17" s="104">
        <f>COUNTIFS('Reconciliation Request'!$A$2:$A$755,Summary!$B17,'Reconciliation Request'!$B$2:$B$755,Summary!$C17,'Reconciliation Request'!$J$2:$J$755,Summary!H$3,'Reconciliation Request'!$F$2:$F$755,"=1")</f>
        <v>3</v>
      </c>
      <c r="I17" s="104">
        <v>1</v>
      </c>
      <c r="J17" s="126">
        <v>2</v>
      </c>
      <c r="K17" s="168">
        <f t="shared" si="5"/>
        <v>0.33333333333333331</v>
      </c>
      <c r="L17" s="123">
        <f t="shared" si="2"/>
        <v>0.66666666666666663</v>
      </c>
      <c r="M17" s="115">
        <f>COUNTIFS('Reconciliation Request'!$A$2:$A$755,Summary!$B17,'Reconciliation Request'!$B$2:$B$755,Summary!$C17,'Reconciliation Request'!$F$2:$F$755,"&lt;&gt;1")</f>
        <v>12</v>
      </c>
      <c r="N17" s="115">
        <f t="shared" si="3"/>
        <v>15</v>
      </c>
      <c r="O17" s="115">
        <f>COUNTIFS('Reconciliation Request'!$A$2:$A$755,Summary!$B17,'Reconciliation Request'!$B$2:$B$755,Summary!$C17,'Reconciliation Request'!$H$2:$H$755,"&gt;0")</f>
        <v>4</v>
      </c>
      <c r="P17" s="115">
        <f t="shared" si="6"/>
        <v>11</v>
      </c>
      <c r="Q17" s="151">
        <f t="shared" si="7"/>
        <v>0.26666666666666666</v>
      </c>
      <c r="R17" s="164">
        <f>COUNTIFS('Reconciliation Request'!$A$2:$A$755,Summary!$B17,'Reconciliation Request'!$B$2:$B$755,Summary!$C17,'Reconciliation Request'!$K$2:$K$755,R$3)</f>
        <v>5</v>
      </c>
      <c r="S17" s="164">
        <f>COUNTIFS('Reconciliation Request'!$A$2:$A$755,Summary!$B17,'Reconciliation Request'!$B$2:$B$755,Summary!$C17,'Reconciliation Request'!$K$2:$K$755,S$3)</f>
        <v>8</v>
      </c>
      <c r="T17" s="164">
        <f>COUNTIFS('Reconciliation Request'!$A$2:$A$755,Summary!$B17,'Reconciliation Request'!$B$2:$B$755,Summary!$C17,'Reconciliation Request'!$K$2:$K$755,T$3)</f>
        <v>1</v>
      </c>
    </row>
    <row r="18" spans="2:20">
      <c r="B18" s="33" t="s">
        <v>182</v>
      </c>
      <c r="C18" s="106" t="s">
        <v>336</v>
      </c>
      <c r="D18" s="104">
        <f>COUNTIFS('Reconciliation Request'!$A$2:$A$755,Summary!$B18,'Reconciliation Request'!$B$2:$B$755,Summary!$C18,'Reconciliation Request'!$F$2:$F$755,"=1")</f>
        <v>2</v>
      </c>
      <c r="E18" s="104">
        <f>COUNTIFS('Reconciliation Request'!$A$2:$A$755,Summary!$B18,'Reconciliation Request'!$B$2:$B$755,Summary!$C18,'Reconciliation Request'!$J$2:$J$755,Summary!E$3,'Reconciliation Request'!$F$2:$F$755,"=1")</f>
        <v>0</v>
      </c>
      <c r="F18" s="104">
        <f>COUNTIFS('Reconciliation Request'!$A$2:$A$755,Summary!$B18,'Reconciliation Request'!$B$2:$B$755,Summary!$C18,'Reconciliation Request'!$J$2:$J$755,Summary!F$3,'Reconciliation Request'!$F$2:$F$755,"=1")</f>
        <v>0</v>
      </c>
      <c r="G18" s="104">
        <f>COUNTIFS('Reconciliation Request'!$A$2:$A$755,Summary!$B18,'Reconciliation Request'!$B$2:$B$755,Summary!$C18,'Reconciliation Request'!$J$2:$J$755,Summary!G$3,'Reconciliation Request'!$F$2:$F$755,"=1")</f>
        <v>0</v>
      </c>
      <c r="H18" s="104">
        <f>COUNTIFS('Reconciliation Request'!$A$2:$A$755,Summary!$B18,'Reconciliation Request'!$B$2:$B$755,Summary!$C18,'Reconciliation Request'!$J$2:$J$755,Summary!H$3,'Reconciliation Request'!$F$2:$F$755,"=1")</f>
        <v>2</v>
      </c>
      <c r="I18" s="104">
        <v>1</v>
      </c>
      <c r="J18" s="126">
        <f>COUNTIFS('Reconciliation Request'!$A$2:$A$755,Summary!$B18,'Reconciliation Request'!$B$2:$B$755,Summary!$C18,'Reconciliation Request'!$H$2:$H$755,"&gt;0",'Reconciliation Request'!$F$2:$F$755,"=1")</f>
        <v>2</v>
      </c>
      <c r="K18" s="168">
        <f t="shared" si="5"/>
        <v>0.5</v>
      </c>
      <c r="L18" s="123">
        <f t="shared" si="2"/>
        <v>1</v>
      </c>
      <c r="M18" s="115">
        <f>COUNTIFS('Reconciliation Request'!$A$2:$A$755,Summary!$B18,'Reconciliation Request'!$B$2:$B$755,Summary!$C18,'Reconciliation Request'!$F$2:$F$755,"&lt;&gt;1")</f>
        <v>12</v>
      </c>
      <c r="N18" s="115">
        <f t="shared" si="3"/>
        <v>14</v>
      </c>
      <c r="O18" s="115">
        <f>COUNTIFS('Reconciliation Request'!$A$2:$A$755,Summary!$B18,'Reconciliation Request'!$B$2:$B$755,Summary!$C18,'Reconciliation Request'!$H$2:$H$755,"&gt;0")</f>
        <v>5</v>
      </c>
      <c r="P18" s="115">
        <f t="shared" si="6"/>
        <v>9</v>
      </c>
      <c r="Q18" s="151">
        <f t="shared" si="7"/>
        <v>0.35714285714285715</v>
      </c>
      <c r="R18" s="164">
        <f>COUNTIFS('Reconciliation Request'!$A$2:$A$755,Summary!$B18,'Reconciliation Request'!$B$2:$B$755,Summary!$C18,'Reconciliation Request'!$K$2:$K$755,R$3)</f>
        <v>4</v>
      </c>
      <c r="S18" s="164">
        <f>COUNTIFS('Reconciliation Request'!$A$2:$A$755,Summary!$B18,'Reconciliation Request'!$B$2:$B$755,Summary!$C18,'Reconciliation Request'!$K$2:$K$755,S$3)</f>
        <v>0</v>
      </c>
      <c r="T18" s="164">
        <f>COUNTIFS('Reconciliation Request'!$A$2:$A$755,Summary!$B18,'Reconciliation Request'!$B$2:$B$755,Summary!$C18,'Reconciliation Request'!$K$2:$K$755,T$3)</f>
        <v>2</v>
      </c>
    </row>
    <row r="19" spans="2:20" hidden="1">
      <c r="B19" s="33" t="s">
        <v>182</v>
      </c>
      <c r="C19" s="106" t="s">
        <v>337</v>
      </c>
      <c r="D19" s="104">
        <f>COUNTIFS('Reconciliation Request'!$A$2:$A$755,Summary!$B19,'Reconciliation Request'!$B$2:$B$755,Summary!$C19,'Reconciliation Request'!$F$2:$F$755,"=1")</f>
        <v>1</v>
      </c>
      <c r="E19" s="104">
        <f>COUNTIFS('Reconciliation Request'!$A$2:$A$755,Summary!$B19,'Reconciliation Request'!$B$2:$B$755,Summary!$C19,'Reconciliation Request'!$J$2:$J$755,Summary!E$3,'Reconciliation Request'!$F$2:$F$755,"=1")</f>
        <v>0</v>
      </c>
      <c r="F19" s="104">
        <f>COUNTIFS('Reconciliation Request'!$A$2:$A$755,Summary!$B19,'Reconciliation Request'!$B$2:$B$755,Summary!$C19,'Reconciliation Request'!$J$2:$J$755,Summary!F$3,'Reconciliation Request'!$F$2:$F$755,"=1")</f>
        <v>0</v>
      </c>
      <c r="G19" s="104">
        <f>COUNTIFS('Reconciliation Request'!$A$2:$A$755,Summary!$B19,'Reconciliation Request'!$B$2:$B$755,Summary!$C19,'Reconciliation Request'!$J$2:$J$755,Summary!G$3,'Reconciliation Request'!$F$2:$F$755,"=1")</f>
        <v>0</v>
      </c>
      <c r="H19" s="104">
        <f>COUNTIFS('Reconciliation Request'!$A$2:$A$755,Summary!$B19,'Reconciliation Request'!$B$2:$B$755,Summary!$C19,'Reconciliation Request'!$J$2:$J$755,Summary!H$3,'Reconciliation Request'!$F$2:$F$755,"=1")</f>
        <v>1</v>
      </c>
      <c r="I19" s="104"/>
      <c r="J19" s="126">
        <f>COUNTIFS('Reconciliation Request'!$A$2:$A$755,Summary!$B19,'Reconciliation Request'!$B$2:$B$755,Summary!$C19,'Reconciliation Request'!$H$2:$H$755,"&gt;0",'Reconciliation Request'!$F$2:$F$755,"=1")</f>
        <v>0</v>
      </c>
      <c r="K19" s="168">
        <f t="shared" si="5"/>
        <v>0</v>
      </c>
      <c r="L19" s="123">
        <f t="shared" si="2"/>
        <v>0</v>
      </c>
      <c r="M19" s="115">
        <f>COUNTIFS('Reconciliation Request'!$A$2:$A$755,Summary!$B19,'Reconciliation Request'!$B$2:$B$755,Summary!$C19,'Reconciliation Request'!$F$2:$F$755,"&lt;&gt;1")</f>
        <v>0</v>
      </c>
      <c r="N19" s="115">
        <f t="shared" si="3"/>
        <v>1</v>
      </c>
      <c r="O19" s="115">
        <f>COUNTIFS('Reconciliation Request'!$A$2:$A$755,Summary!$B19,'Reconciliation Request'!$B$2:$B$755,Summary!$C19,'Reconciliation Request'!$H$2:$H$755,"&gt;0")</f>
        <v>0</v>
      </c>
      <c r="P19" s="115">
        <f t="shared" si="6"/>
        <v>1</v>
      </c>
      <c r="Q19" s="151">
        <f t="shared" si="7"/>
        <v>0</v>
      </c>
      <c r="R19" s="164">
        <f>COUNTIFS('Reconciliation Request'!$A$2:$A$755,Summary!$B19,'Reconciliation Request'!$B$2:$B$755,Summary!$C19,'Reconciliation Request'!$K$2:$K$755,R$3)</f>
        <v>0</v>
      </c>
      <c r="S19" s="164">
        <f>COUNTIFS('Reconciliation Request'!$A$2:$A$755,Summary!$B19,'Reconciliation Request'!$B$2:$B$755,Summary!$C19,'Reconciliation Request'!$K$2:$K$755,S$3)</f>
        <v>1</v>
      </c>
      <c r="T19" s="164">
        <f>COUNTIFS('Reconciliation Request'!$A$2:$A$755,Summary!$B19,'Reconciliation Request'!$B$2:$B$755,Summary!$C19,'Reconciliation Request'!$K$2:$K$755,T$3)</f>
        <v>0</v>
      </c>
    </row>
    <row r="20" spans="2:20">
      <c r="B20" s="34" t="s">
        <v>182</v>
      </c>
      <c r="C20" s="35" t="s">
        <v>338</v>
      </c>
      <c r="D20" s="107">
        <f>COUNTIFS('Reconciliation Request'!$A$2:$A$755,Summary!$B20,'Reconciliation Request'!$B$2:$B$755,Summary!$C20,'Reconciliation Request'!$F$2:$F$755,"=1")</f>
        <v>3</v>
      </c>
      <c r="E20" s="107">
        <f>COUNTIFS('Reconciliation Request'!$A$2:$A$755,Summary!$B20,'Reconciliation Request'!$B$2:$B$755,Summary!$C20,'Reconciliation Request'!$J$2:$J$755,Summary!E$3,'Reconciliation Request'!$F$2:$F$755,"=1")</f>
        <v>0</v>
      </c>
      <c r="F20" s="107">
        <f>COUNTIFS('Reconciliation Request'!$A$2:$A$755,Summary!$B20,'Reconciliation Request'!$B$2:$B$755,Summary!$C20,'Reconciliation Request'!$J$2:$J$755,Summary!F$3,'Reconciliation Request'!$F$2:$F$755,"=1")</f>
        <v>0</v>
      </c>
      <c r="G20" s="107">
        <f>COUNTIFS('Reconciliation Request'!$A$2:$A$755,Summary!$B20,'Reconciliation Request'!$B$2:$B$755,Summary!$C20,'Reconciliation Request'!$J$2:$J$755,Summary!G$3,'Reconciliation Request'!$F$2:$F$755,"=1")</f>
        <v>0</v>
      </c>
      <c r="H20" s="107">
        <f>COUNTIFS('Reconciliation Request'!$A$2:$A$755,Summary!$B20,'Reconciliation Request'!$B$2:$B$755,Summary!$C20,'Reconciliation Request'!$J$2:$J$755,Summary!H$3,'Reconciliation Request'!$F$2:$F$755,"=1")</f>
        <v>3</v>
      </c>
      <c r="I20" s="107">
        <v>0</v>
      </c>
      <c r="J20" s="127">
        <v>3</v>
      </c>
      <c r="K20" s="169">
        <f t="shared" si="5"/>
        <v>0</v>
      </c>
      <c r="L20" s="124">
        <f t="shared" si="2"/>
        <v>1</v>
      </c>
      <c r="M20" s="116">
        <f>COUNTIFS('Reconciliation Request'!$A$2:$A$755,Summary!$B20,'Reconciliation Request'!$B$2:$B$755,Summary!$C20,'Reconciliation Request'!$F$2:$F$755,"&lt;&gt;1")</f>
        <v>8</v>
      </c>
      <c r="N20" s="116">
        <f t="shared" si="3"/>
        <v>11</v>
      </c>
      <c r="O20" s="116">
        <f>COUNTIFS('Reconciliation Request'!$A$2:$A$755,Summary!$B20,'Reconciliation Request'!$B$2:$B$755,Summary!$C20,'Reconciliation Request'!$H$2:$H$755,"&gt;0")</f>
        <v>5</v>
      </c>
      <c r="P20" s="116">
        <f t="shared" si="6"/>
        <v>6</v>
      </c>
      <c r="Q20" s="152">
        <f t="shared" si="7"/>
        <v>0.45454545454545453</v>
      </c>
      <c r="R20" s="165">
        <f>COUNTIFS('Reconciliation Request'!$A$2:$A$755,Summary!$B20,'Reconciliation Request'!$B$2:$B$755,Summary!$C20,'Reconciliation Request'!$K$2:$K$755,R$3)</f>
        <v>7</v>
      </c>
      <c r="S20" s="165">
        <f>COUNTIFS('Reconciliation Request'!$A$2:$A$755,Summary!$B20,'Reconciliation Request'!$B$2:$B$755,Summary!$C20,'Reconciliation Request'!$K$2:$K$755,S$3)</f>
        <v>4</v>
      </c>
      <c r="T20" s="165">
        <f>COUNTIFS('Reconciliation Request'!$A$2:$A$755,Summary!$B20,'Reconciliation Request'!$B$2:$B$755,Summary!$C20,'Reconciliation Request'!$K$2:$K$755,T$3)</f>
        <v>0</v>
      </c>
    </row>
    <row r="21" spans="2:20">
      <c r="B21" s="33" t="s">
        <v>9</v>
      </c>
      <c r="C21" s="106" t="s">
        <v>333</v>
      </c>
      <c r="D21" s="104">
        <f>COUNTIFS('Reconciliation Request'!$A$2:$A$755,Summary!$B21,'Reconciliation Request'!$B$2:$B$755,Summary!$C21,'Reconciliation Request'!$F$2:$F$755,"=1")</f>
        <v>6</v>
      </c>
      <c r="E21" s="104">
        <f>COUNTIFS('Reconciliation Request'!$A$2:$A$755,Summary!$B21,'Reconciliation Request'!$B$2:$B$755,Summary!$C21,'Reconciliation Request'!$J$2:$J$755,Summary!E$3,'Reconciliation Request'!$F$2:$F$755,"=1")</f>
        <v>0</v>
      </c>
      <c r="F21" s="104">
        <f>COUNTIFS('Reconciliation Request'!$A$2:$A$755,Summary!$B21,'Reconciliation Request'!$B$2:$B$755,Summary!$C21,'Reconciliation Request'!$J$2:$J$755,Summary!F$3,'Reconciliation Request'!$F$2:$F$755,"=1")</f>
        <v>1</v>
      </c>
      <c r="G21" s="104">
        <f>COUNTIFS('Reconciliation Request'!$A$2:$A$755,Summary!$B21,'Reconciliation Request'!$B$2:$B$755,Summary!$C21,'Reconciliation Request'!$J$2:$J$755,Summary!G$3,'Reconciliation Request'!$F$2:$F$755,"=1")</f>
        <v>0</v>
      </c>
      <c r="H21" s="104">
        <f>COUNTIFS('Reconciliation Request'!$A$2:$A$755,Summary!$B21,'Reconciliation Request'!$B$2:$B$755,Summary!$C21,'Reconciliation Request'!$J$2:$J$755,Summary!H$3,'Reconciliation Request'!$F$2:$F$755,"=1")</f>
        <v>5</v>
      </c>
      <c r="I21" s="104">
        <v>1</v>
      </c>
      <c r="J21" s="104">
        <v>5</v>
      </c>
      <c r="K21" s="170">
        <f t="shared" si="5"/>
        <v>0.16666666666666666</v>
      </c>
      <c r="L21" s="123">
        <f t="shared" si="2"/>
        <v>0.83333333333333337</v>
      </c>
      <c r="M21" s="115">
        <f>COUNTIFS('Reconciliation Request'!$A$2:$A$755,Summary!$B21,'Reconciliation Request'!$B$2:$B$755,Summary!$C21,'Reconciliation Request'!$F$2:$F$755,"&lt;&gt;1")</f>
        <v>37</v>
      </c>
      <c r="N21" s="115">
        <f t="shared" si="3"/>
        <v>43</v>
      </c>
      <c r="O21" s="115">
        <f>COUNTIFS('Reconciliation Request'!$A$2:$A$755,Summary!$B21,'Reconciliation Request'!$B$2:$B$755,Summary!$C21,'Reconciliation Request'!$H$2:$H$755,"&gt;0")</f>
        <v>17</v>
      </c>
      <c r="P21" s="115">
        <f t="shared" si="6"/>
        <v>26</v>
      </c>
      <c r="Q21" s="151">
        <f t="shared" si="7"/>
        <v>0.39534883720930231</v>
      </c>
      <c r="R21" s="164">
        <f>COUNTIFS('Reconciliation Request'!$A$2:$A$755,Summary!$B21,'Reconciliation Request'!$B$2:$B$755,Summary!$C21,'Reconciliation Request'!$K$2:$K$755,R$3)</f>
        <v>25</v>
      </c>
      <c r="S21" s="164">
        <f>COUNTIFS('Reconciliation Request'!$A$2:$A$755,Summary!$B21,'Reconciliation Request'!$B$2:$B$755,Summary!$C21,'Reconciliation Request'!$K$2:$K$755,S$3)</f>
        <v>16</v>
      </c>
      <c r="T21" s="164">
        <f>COUNTIFS('Reconciliation Request'!$A$2:$A$755,Summary!$B21,'Reconciliation Request'!$B$2:$B$755,Summary!$C21,'Reconciliation Request'!$K$2:$K$755,T$3)</f>
        <v>2</v>
      </c>
    </row>
    <row r="22" spans="2:20">
      <c r="B22" s="33" t="s">
        <v>9</v>
      </c>
      <c r="C22" s="106" t="s">
        <v>334</v>
      </c>
      <c r="D22" s="104">
        <f>COUNTIFS('Reconciliation Request'!$A$2:$A$755,Summary!$B22,'Reconciliation Request'!$B$2:$B$755,Summary!$C22,'Reconciliation Request'!$F$2:$F$755,"=1")</f>
        <v>6</v>
      </c>
      <c r="E22" s="104">
        <f>COUNTIFS('Reconciliation Request'!$A$2:$A$755,Summary!$B22,'Reconciliation Request'!$B$2:$B$755,Summary!$C22,'Reconciliation Request'!$J$2:$J$755,Summary!E$3,'Reconciliation Request'!$F$2:$F$755,"=1")</f>
        <v>0</v>
      </c>
      <c r="F22" s="104">
        <f>COUNTIFS('Reconciliation Request'!$A$2:$A$755,Summary!$B22,'Reconciliation Request'!$B$2:$B$755,Summary!$C22,'Reconciliation Request'!$J$2:$J$755,Summary!F$3,'Reconciliation Request'!$F$2:$F$755,"=1")</f>
        <v>0</v>
      </c>
      <c r="G22" s="104">
        <f>COUNTIFS('Reconciliation Request'!$A$2:$A$755,Summary!$B22,'Reconciliation Request'!$B$2:$B$755,Summary!$C22,'Reconciliation Request'!$J$2:$J$755,Summary!G$3,'Reconciliation Request'!$F$2:$F$755,"=1")</f>
        <v>0</v>
      </c>
      <c r="H22" s="104">
        <f>COUNTIFS('Reconciliation Request'!$A$2:$A$755,Summary!$B22,'Reconciliation Request'!$B$2:$B$755,Summary!$C22,'Reconciliation Request'!$J$2:$J$755,Summary!H$3,'Reconciliation Request'!$F$2:$F$755,"=1")</f>
        <v>6</v>
      </c>
      <c r="I22" s="104">
        <v>1</v>
      </c>
      <c r="J22" s="104">
        <v>5</v>
      </c>
      <c r="K22" s="170">
        <f t="shared" si="5"/>
        <v>0.16666666666666666</v>
      </c>
      <c r="L22" s="123">
        <f t="shared" si="2"/>
        <v>0.83333333333333337</v>
      </c>
      <c r="M22" s="115">
        <f>COUNTIFS('Reconciliation Request'!$A$2:$A$755,Summary!$B22,'Reconciliation Request'!$B$2:$B$755,Summary!$C22,'Reconciliation Request'!$F$2:$F$755,"&lt;&gt;1")</f>
        <v>10</v>
      </c>
      <c r="N22" s="115">
        <f t="shared" si="3"/>
        <v>16</v>
      </c>
      <c r="O22" s="115">
        <f>COUNTIFS('Reconciliation Request'!$A$2:$A$755,Summary!$B22,'Reconciliation Request'!$B$2:$B$755,Summary!$C22,'Reconciliation Request'!$H$2:$H$755,"&gt;0")</f>
        <v>7</v>
      </c>
      <c r="P22" s="115">
        <f t="shared" si="6"/>
        <v>9</v>
      </c>
      <c r="Q22" s="151">
        <f t="shared" si="7"/>
        <v>0.4375</v>
      </c>
      <c r="R22" s="164">
        <f>COUNTIFS('Reconciliation Request'!$A$2:$A$755,Summary!$B22,'Reconciliation Request'!$B$2:$B$755,Summary!$C22,'Reconciliation Request'!$K$2:$K$755,R$3)</f>
        <v>9</v>
      </c>
      <c r="S22" s="164">
        <f>COUNTIFS('Reconciliation Request'!$A$2:$A$755,Summary!$B22,'Reconciliation Request'!$B$2:$B$755,Summary!$C22,'Reconciliation Request'!$K$2:$K$755,S$3)</f>
        <v>5</v>
      </c>
      <c r="T22" s="164">
        <f>COUNTIFS('Reconciliation Request'!$A$2:$A$755,Summary!$B22,'Reconciliation Request'!$B$2:$B$755,Summary!$C22,'Reconciliation Request'!$K$2:$K$755,T$3)</f>
        <v>2</v>
      </c>
    </row>
    <row r="23" spans="2:20">
      <c r="B23" s="33" t="s">
        <v>9</v>
      </c>
      <c r="C23" s="106" t="s">
        <v>335</v>
      </c>
      <c r="D23" s="104">
        <f>COUNTIFS('Reconciliation Request'!$A$2:$A$755,Summary!$B23,'Reconciliation Request'!$B$2:$B$755,Summary!$C23,'Reconciliation Request'!$F$2:$F$755,"=1")</f>
        <v>3</v>
      </c>
      <c r="E23" s="104">
        <f>COUNTIFS('Reconciliation Request'!$A$2:$A$755,Summary!$B23,'Reconciliation Request'!$B$2:$B$755,Summary!$C23,'Reconciliation Request'!$J$2:$J$755,Summary!E$3,'Reconciliation Request'!$F$2:$F$755,"=1")</f>
        <v>0</v>
      </c>
      <c r="F23" s="104">
        <f>COUNTIFS('Reconciliation Request'!$A$2:$A$755,Summary!$B23,'Reconciliation Request'!$B$2:$B$755,Summary!$C23,'Reconciliation Request'!$J$2:$J$755,Summary!F$3,'Reconciliation Request'!$F$2:$F$755,"=1")</f>
        <v>0</v>
      </c>
      <c r="G23" s="104">
        <f>COUNTIFS('Reconciliation Request'!$A$2:$A$755,Summary!$B23,'Reconciliation Request'!$B$2:$B$755,Summary!$C23,'Reconciliation Request'!$J$2:$J$755,Summary!G$3,'Reconciliation Request'!$F$2:$F$755,"=1")</f>
        <v>0</v>
      </c>
      <c r="H23" s="104">
        <f>COUNTIFS('Reconciliation Request'!$A$2:$A$755,Summary!$B23,'Reconciliation Request'!$B$2:$B$755,Summary!$C23,'Reconciliation Request'!$J$2:$J$755,Summary!H$3,'Reconciliation Request'!$F$2:$F$755,"=1")</f>
        <v>3</v>
      </c>
      <c r="I23" s="104">
        <v>1</v>
      </c>
      <c r="J23" s="104">
        <v>2</v>
      </c>
      <c r="K23" s="170">
        <f t="shared" si="5"/>
        <v>0.33333333333333331</v>
      </c>
      <c r="L23" s="123">
        <f t="shared" si="2"/>
        <v>0.66666666666666663</v>
      </c>
      <c r="M23" s="115">
        <f>COUNTIFS('Reconciliation Request'!$A$2:$A$755,Summary!$B23,'Reconciliation Request'!$B$2:$B$755,Summary!$C23,'Reconciliation Request'!$F$2:$F$755,"&lt;&gt;1")</f>
        <v>12</v>
      </c>
      <c r="N23" s="115">
        <f t="shared" si="3"/>
        <v>15</v>
      </c>
      <c r="O23" s="115">
        <f>COUNTIFS('Reconciliation Request'!$A$2:$A$755,Summary!$B23,'Reconciliation Request'!$B$2:$B$755,Summary!$C23,'Reconciliation Request'!$H$2:$H$755,"&gt;0")</f>
        <v>5</v>
      </c>
      <c r="P23" s="115">
        <f t="shared" si="6"/>
        <v>10</v>
      </c>
      <c r="Q23" s="151">
        <f t="shared" si="7"/>
        <v>0.33333333333333331</v>
      </c>
      <c r="R23" s="164">
        <f>COUNTIFS('Reconciliation Request'!$A$2:$A$755,Summary!$B23,'Reconciliation Request'!$B$2:$B$755,Summary!$C23,'Reconciliation Request'!$K$2:$K$755,R$3)</f>
        <v>5</v>
      </c>
      <c r="S23" s="164">
        <f>COUNTIFS('Reconciliation Request'!$A$2:$A$755,Summary!$B23,'Reconciliation Request'!$B$2:$B$755,Summary!$C23,'Reconciliation Request'!$K$2:$K$755,S$3)</f>
        <v>8</v>
      </c>
      <c r="T23" s="164">
        <f>COUNTIFS('Reconciliation Request'!$A$2:$A$755,Summary!$B23,'Reconciliation Request'!$B$2:$B$755,Summary!$C23,'Reconciliation Request'!$K$2:$K$755,T$3)</f>
        <v>2</v>
      </c>
    </row>
    <row r="24" spans="2:20" hidden="1">
      <c r="B24" s="33" t="s">
        <v>9</v>
      </c>
      <c r="C24" s="106" t="s">
        <v>337</v>
      </c>
      <c r="D24" s="104">
        <f>COUNTIFS('Reconciliation Request'!$A$2:$A$755,Summary!$B24,'Reconciliation Request'!$B$2:$B$755,Summary!$C24,'Reconciliation Request'!$F$2:$F$755,"=1")</f>
        <v>1</v>
      </c>
      <c r="E24" s="104">
        <f>COUNTIFS('Reconciliation Request'!$A$2:$A$755,Summary!$B24,'Reconciliation Request'!$B$2:$B$755,Summary!$C24,'Reconciliation Request'!$J$2:$J$755,Summary!E$3,'Reconciliation Request'!$F$2:$F$755,"=1")</f>
        <v>0</v>
      </c>
      <c r="F24" s="104">
        <f>COUNTIFS('Reconciliation Request'!$A$2:$A$755,Summary!$B24,'Reconciliation Request'!$B$2:$B$755,Summary!$C24,'Reconciliation Request'!$J$2:$J$755,Summary!F$3,'Reconciliation Request'!$F$2:$F$755,"=1")</f>
        <v>0</v>
      </c>
      <c r="G24" s="104">
        <f>COUNTIFS('Reconciliation Request'!$A$2:$A$755,Summary!$B24,'Reconciliation Request'!$B$2:$B$755,Summary!$C24,'Reconciliation Request'!$J$2:$J$755,Summary!G$3,'Reconciliation Request'!$F$2:$F$755,"=1")</f>
        <v>0</v>
      </c>
      <c r="H24" s="104">
        <f>COUNTIFS('Reconciliation Request'!$A$2:$A$755,Summary!$B24,'Reconciliation Request'!$B$2:$B$755,Summary!$C24,'Reconciliation Request'!$J$2:$J$755,Summary!H$3,'Reconciliation Request'!$F$2:$F$755,"=1")</f>
        <v>1</v>
      </c>
      <c r="I24" s="104"/>
      <c r="J24" s="104">
        <f>COUNTIFS('Reconciliation Request'!$A$2:$A$755,Summary!$B24,'Reconciliation Request'!$B$2:$B$755,Summary!$C24,'Reconciliation Request'!$H$2:$H$755,"&gt;0",'Reconciliation Request'!$F$2:$F$755,"=1")</f>
        <v>0</v>
      </c>
      <c r="K24" s="170">
        <f t="shared" si="5"/>
        <v>0</v>
      </c>
      <c r="L24" s="123">
        <f t="shared" si="2"/>
        <v>0</v>
      </c>
      <c r="M24" s="115">
        <f>COUNTIFS('Reconciliation Request'!$A$2:$A$755,Summary!$B24,'Reconciliation Request'!$B$2:$B$755,Summary!$C24,'Reconciliation Request'!$F$2:$F$755,"&lt;&gt;1")</f>
        <v>5</v>
      </c>
      <c r="N24" s="115">
        <f t="shared" si="3"/>
        <v>6</v>
      </c>
      <c r="O24" s="115">
        <f>COUNTIFS('Reconciliation Request'!$A$2:$A$755,Summary!$B24,'Reconciliation Request'!$B$2:$B$755,Summary!$C24,'Reconciliation Request'!$H$2:$H$755,"&gt;0")</f>
        <v>0</v>
      </c>
      <c r="P24" s="115">
        <f t="shared" si="6"/>
        <v>6</v>
      </c>
      <c r="Q24" s="151">
        <f t="shared" si="7"/>
        <v>0</v>
      </c>
      <c r="R24" s="164">
        <f>COUNTIFS('Reconciliation Request'!$A$2:$A$755,Summary!$B24,'Reconciliation Request'!$B$2:$B$755,Summary!$C24,'Reconciliation Request'!$K$2:$K$755,R$3)</f>
        <v>0</v>
      </c>
      <c r="S24" s="164">
        <f>COUNTIFS('Reconciliation Request'!$A$2:$A$755,Summary!$B24,'Reconciliation Request'!$B$2:$B$755,Summary!$C24,'Reconciliation Request'!$K$2:$K$755,S$3)</f>
        <v>6</v>
      </c>
      <c r="T24" s="164">
        <f>COUNTIFS('Reconciliation Request'!$A$2:$A$755,Summary!$B24,'Reconciliation Request'!$B$2:$B$755,Summary!$C24,'Reconciliation Request'!$K$2:$K$755,T$3)</f>
        <v>0</v>
      </c>
    </row>
    <row r="25" spans="2:20">
      <c r="B25" s="33" t="s">
        <v>9</v>
      </c>
      <c r="C25" s="106" t="s">
        <v>338</v>
      </c>
      <c r="D25" s="104">
        <f>COUNTIFS('Reconciliation Request'!$A$2:$A$755,Summary!$B25,'Reconciliation Request'!$B$2:$B$755,Summary!$C25,'Reconciliation Request'!$F$2:$F$755,"=1")</f>
        <v>4</v>
      </c>
      <c r="E25" s="104">
        <f>COUNTIFS('Reconciliation Request'!$A$2:$A$755,Summary!$B25,'Reconciliation Request'!$B$2:$B$755,Summary!$C25,'Reconciliation Request'!$J$2:$J$755,Summary!E$3,'Reconciliation Request'!$F$2:$F$755,"=1")</f>
        <v>0</v>
      </c>
      <c r="F25" s="104">
        <f>COUNTIFS('Reconciliation Request'!$A$2:$A$755,Summary!$B25,'Reconciliation Request'!$B$2:$B$755,Summary!$C25,'Reconciliation Request'!$J$2:$J$755,Summary!F$3,'Reconciliation Request'!$F$2:$F$755,"=1")</f>
        <v>0</v>
      </c>
      <c r="G25" s="104">
        <f>COUNTIFS('Reconciliation Request'!$A$2:$A$755,Summary!$B25,'Reconciliation Request'!$B$2:$B$755,Summary!$C25,'Reconciliation Request'!$J$2:$J$755,Summary!G$3,'Reconciliation Request'!$F$2:$F$755,"=1")</f>
        <v>0</v>
      </c>
      <c r="H25" s="104">
        <f>COUNTIFS('Reconciliation Request'!$A$2:$A$755,Summary!$B25,'Reconciliation Request'!$B$2:$B$755,Summary!$C25,'Reconciliation Request'!$J$2:$J$755,Summary!H$3,'Reconciliation Request'!$F$2:$F$755,"=1")</f>
        <v>4</v>
      </c>
      <c r="I25" s="104">
        <v>0</v>
      </c>
      <c r="J25" s="104">
        <v>4</v>
      </c>
      <c r="K25" s="170">
        <f t="shared" si="5"/>
        <v>0</v>
      </c>
      <c r="L25" s="123">
        <f t="shared" si="2"/>
        <v>1</v>
      </c>
      <c r="M25" s="115">
        <f>COUNTIFS('Reconciliation Request'!$A$2:$A$755,Summary!$B25,'Reconciliation Request'!$B$2:$B$755,Summary!$C25,'Reconciliation Request'!$F$2:$F$755,"&lt;&gt;1")</f>
        <v>7</v>
      </c>
      <c r="N25" s="115">
        <f t="shared" si="3"/>
        <v>11</v>
      </c>
      <c r="O25" s="115">
        <f>COUNTIFS('Reconciliation Request'!$A$2:$A$755,Summary!$B25,'Reconciliation Request'!$B$2:$B$755,Summary!$C25,'Reconciliation Request'!$H$2:$H$755,"&gt;0")</f>
        <v>1</v>
      </c>
      <c r="P25" s="115">
        <f t="shared" si="6"/>
        <v>10</v>
      </c>
      <c r="Q25" s="151">
        <f t="shared" si="7"/>
        <v>9.0909090909090912E-2</v>
      </c>
      <c r="R25" s="164">
        <f>COUNTIFS('Reconciliation Request'!$A$2:$A$755,Summary!$B25,'Reconciliation Request'!$B$2:$B$755,Summary!$C25,'Reconciliation Request'!$K$2:$K$755,R$3)</f>
        <v>4</v>
      </c>
      <c r="S25" s="164">
        <f>COUNTIFS('Reconciliation Request'!$A$2:$A$755,Summary!$B25,'Reconciliation Request'!$B$2:$B$755,Summary!$C25,'Reconciliation Request'!$K$2:$K$755,S$3)</f>
        <v>6</v>
      </c>
      <c r="T25" s="164">
        <f>COUNTIFS('Reconciliation Request'!$A$2:$A$755,Summary!$B25,'Reconciliation Request'!$B$2:$B$755,Summary!$C25,'Reconciliation Request'!$K$2:$K$755,T$3)</f>
        <v>1</v>
      </c>
    </row>
    <row r="26" spans="2:20">
      <c r="B26" s="34" t="s">
        <v>9</v>
      </c>
      <c r="C26" s="35" t="s">
        <v>336</v>
      </c>
      <c r="D26" s="107">
        <f>COUNTIFS('Reconciliation Request'!$A$2:$A$755,Summary!$B26,'Reconciliation Request'!$B$2:$B$755,Summary!$C26,'Reconciliation Request'!$F$2:$F$755,"=1")</f>
        <v>2</v>
      </c>
      <c r="E26" s="107">
        <f>COUNTIFS('Reconciliation Request'!$A$2:$A$755,Summary!$B26,'Reconciliation Request'!$B$2:$B$755,Summary!$C26,'Reconciliation Request'!$J$2:$J$755,Summary!E$3,'Reconciliation Request'!$F$2:$F$755,"=1")</f>
        <v>0</v>
      </c>
      <c r="F26" s="107">
        <f>COUNTIFS('Reconciliation Request'!$A$2:$A$755,Summary!$B26,'Reconciliation Request'!$B$2:$B$755,Summary!$C26,'Reconciliation Request'!$J$2:$J$755,Summary!F$3,'Reconciliation Request'!$F$2:$F$755,"=1")</f>
        <v>0</v>
      </c>
      <c r="G26" s="107">
        <f>COUNTIFS('Reconciliation Request'!$A$2:$A$755,Summary!$B26,'Reconciliation Request'!$B$2:$B$755,Summary!$C26,'Reconciliation Request'!$J$2:$J$755,Summary!G$3,'Reconciliation Request'!$F$2:$F$755,"=1")</f>
        <v>0</v>
      </c>
      <c r="H26" s="107">
        <f>COUNTIFS('Reconciliation Request'!$A$2:$A$755,Summary!$B26,'Reconciliation Request'!$B$2:$B$755,Summary!$C26,'Reconciliation Request'!$J$2:$J$755,Summary!H$3,'Reconciliation Request'!$F$2:$F$755,"=1")</f>
        <v>2</v>
      </c>
      <c r="I26" s="104">
        <v>0</v>
      </c>
      <c r="J26" s="104">
        <f>COUNTIFS('Reconciliation Request'!$A$2:$A$755,Summary!$B26,'Reconciliation Request'!$B$2:$B$755,Summary!$C26,'Reconciliation Request'!$H$2:$H$755,"&gt;0",'Reconciliation Request'!$F$2:$F$755,"=1")</f>
        <v>2</v>
      </c>
      <c r="K26" s="170">
        <f t="shared" si="5"/>
        <v>0</v>
      </c>
      <c r="L26" s="124">
        <f t="shared" si="2"/>
        <v>1</v>
      </c>
      <c r="M26" s="116">
        <f>COUNTIFS('Reconciliation Request'!$A$2:$A$755,Summary!$B26,'Reconciliation Request'!$B$2:$B$755,Summary!$C26,'Reconciliation Request'!$F$2:$F$755,"&lt;&gt;1")</f>
        <v>12</v>
      </c>
      <c r="N26" s="116">
        <f t="shared" si="3"/>
        <v>14</v>
      </c>
      <c r="O26" s="116">
        <f>COUNTIFS('Reconciliation Request'!$A$2:$A$755,Summary!$B26,'Reconciliation Request'!$B$2:$B$755,Summary!$C26,'Reconciliation Request'!$H$2:$H$755,"&gt;0")</f>
        <v>6</v>
      </c>
      <c r="P26" s="116">
        <f t="shared" si="6"/>
        <v>8</v>
      </c>
      <c r="Q26" s="152">
        <f t="shared" si="7"/>
        <v>0.42857142857142855</v>
      </c>
      <c r="R26" s="165">
        <f>COUNTIFS('Reconciliation Request'!$A$2:$A$755,Summary!$B26,'Reconciliation Request'!$B$2:$B$755,Summary!$C26,'Reconciliation Request'!$K$2:$K$755,R$3)</f>
        <v>12</v>
      </c>
      <c r="S26" s="165">
        <f>COUNTIFS('Reconciliation Request'!$A$2:$A$755,Summary!$B26,'Reconciliation Request'!$B$2:$B$755,Summary!$C26,'Reconciliation Request'!$K$2:$K$755,S$3)</f>
        <v>1</v>
      </c>
      <c r="T26" s="165">
        <f>COUNTIFS('Reconciliation Request'!$A$2:$A$755,Summary!$B26,'Reconciliation Request'!$B$2:$B$755,Summary!$C26,'Reconciliation Request'!$K$2:$K$755,T$3)</f>
        <v>1</v>
      </c>
    </row>
    <row r="27" spans="2:20">
      <c r="B27" s="31" t="s">
        <v>239</v>
      </c>
      <c r="C27" s="32" t="s">
        <v>333</v>
      </c>
      <c r="D27" s="105">
        <f>COUNTIFS('Reconciliation Request'!$A$2:$A$755,Summary!$B27,'Reconciliation Request'!$B$2:$B$755,Summary!$C27,'Reconciliation Request'!$F$2:$F$755,"=1")</f>
        <v>5</v>
      </c>
      <c r="E27" s="105">
        <f>COUNTIFS('Reconciliation Request'!$A$2:$A$755,Summary!$B27,'Reconciliation Request'!$B$2:$B$755,Summary!$C27,'Reconciliation Request'!$J$2:$J$755,Summary!E$3,'Reconciliation Request'!$F$2:$F$755,"=1")</f>
        <v>0</v>
      </c>
      <c r="F27" s="105">
        <f>COUNTIFS('Reconciliation Request'!$A$2:$A$755,Summary!$B27,'Reconciliation Request'!$B$2:$B$755,Summary!$C27,'Reconciliation Request'!$J$2:$J$755,Summary!F$3,'Reconciliation Request'!$F$2:$F$755,"=1")</f>
        <v>0</v>
      </c>
      <c r="G27" s="105">
        <f>COUNTIFS('Reconciliation Request'!$A$2:$A$755,Summary!$B27,'Reconciliation Request'!$B$2:$B$755,Summary!$C27,'Reconciliation Request'!$J$2:$J$755,Summary!G$3,'Reconciliation Request'!$F$2:$F$755,"=1")</f>
        <v>0</v>
      </c>
      <c r="H27" s="105">
        <f>COUNTIFS('Reconciliation Request'!$A$2:$A$755,Summary!$B27,'Reconciliation Request'!$B$2:$B$755,Summary!$C27,'Reconciliation Request'!$J$2:$J$755,Summary!H$3,'Reconciliation Request'!$F$2:$F$755,"=1")</f>
        <v>5</v>
      </c>
      <c r="I27" s="105">
        <v>2</v>
      </c>
      <c r="J27" s="125">
        <v>3</v>
      </c>
      <c r="K27" s="167">
        <f t="shared" si="5"/>
        <v>0.4</v>
      </c>
      <c r="L27" s="122">
        <f t="shared" si="2"/>
        <v>0.6</v>
      </c>
      <c r="M27" s="114">
        <f>COUNTIFS('Reconciliation Request'!$A$2:$A$755,Summary!$B27,'Reconciliation Request'!$B$2:$B$755,Summary!$C27,'Reconciliation Request'!$F$2:$F$755,"&lt;&gt;1")</f>
        <v>39</v>
      </c>
      <c r="N27" s="114">
        <f t="shared" si="3"/>
        <v>44</v>
      </c>
      <c r="O27" s="114">
        <f>COUNTIFS('Reconciliation Request'!$A$2:$A$755,Summary!$B27,'Reconciliation Request'!$B$2:$B$755,Summary!$C27,'Reconciliation Request'!$H$2:$H$755,"&gt;0")</f>
        <v>13</v>
      </c>
      <c r="P27" s="114">
        <f t="shared" si="6"/>
        <v>31</v>
      </c>
      <c r="Q27" s="150">
        <f t="shared" si="7"/>
        <v>0.29545454545454547</v>
      </c>
      <c r="R27" s="163">
        <f>COUNTIFS('Reconciliation Request'!$A$2:$A$755,Summary!$B27,'Reconciliation Request'!$B$2:$B$755,Summary!$C27,'Reconciliation Request'!$K$2:$K$755,R$3)</f>
        <v>21</v>
      </c>
      <c r="S27" s="163">
        <f>COUNTIFS('Reconciliation Request'!$A$2:$A$755,Summary!$B27,'Reconciliation Request'!$B$2:$B$755,Summary!$C27,'Reconciliation Request'!$K$2:$K$755,S$3)</f>
        <v>20</v>
      </c>
      <c r="T27" s="163">
        <f>COUNTIFS('Reconciliation Request'!$A$2:$A$755,Summary!$B27,'Reconciliation Request'!$B$2:$B$755,Summary!$C27,'Reconciliation Request'!$K$2:$K$755,T$3)</f>
        <v>3</v>
      </c>
    </row>
    <row r="28" spans="2:20">
      <c r="B28" s="33" t="s">
        <v>239</v>
      </c>
      <c r="C28" s="106" t="s">
        <v>334</v>
      </c>
      <c r="D28" s="104">
        <f>COUNTIFS('Reconciliation Request'!$A$2:$A$755,Summary!$B28,'Reconciliation Request'!$B$2:$B$755,Summary!$C28,'Reconciliation Request'!$F$2:$F$755,"=1")</f>
        <v>3</v>
      </c>
      <c r="E28" s="104">
        <f>COUNTIFS('Reconciliation Request'!$A$2:$A$755,Summary!$B28,'Reconciliation Request'!$B$2:$B$755,Summary!$C28,'Reconciliation Request'!$J$2:$J$755,Summary!E$3,'Reconciliation Request'!$F$2:$F$755,"=1")</f>
        <v>0</v>
      </c>
      <c r="F28" s="104">
        <f>COUNTIFS('Reconciliation Request'!$A$2:$A$755,Summary!$B28,'Reconciliation Request'!$B$2:$B$755,Summary!$C28,'Reconciliation Request'!$J$2:$J$755,Summary!F$3,'Reconciliation Request'!$F$2:$F$755,"=1")</f>
        <v>0</v>
      </c>
      <c r="G28" s="104">
        <f>COUNTIFS('Reconciliation Request'!$A$2:$A$755,Summary!$B28,'Reconciliation Request'!$B$2:$B$755,Summary!$C28,'Reconciliation Request'!$J$2:$J$755,Summary!G$3,'Reconciliation Request'!$F$2:$F$755,"=1")</f>
        <v>0</v>
      </c>
      <c r="H28" s="104">
        <f>COUNTIFS('Reconciliation Request'!$A$2:$A$755,Summary!$B28,'Reconciliation Request'!$B$2:$B$755,Summary!$C28,'Reconciliation Request'!$J$2:$J$755,Summary!H$3,'Reconciliation Request'!$F$2:$F$755,"=1")</f>
        <v>3</v>
      </c>
      <c r="I28" s="104">
        <v>0</v>
      </c>
      <c r="J28" s="126">
        <v>3</v>
      </c>
      <c r="K28" s="168">
        <f t="shared" si="5"/>
        <v>0</v>
      </c>
      <c r="L28" s="123">
        <f t="shared" si="2"/>
        <v>1</v>
      </c>
      <c r="M28" s="115">
        <f>COUNTIFS('Reconciliation Request'!$A$2:$A$755,Summary!$B28,'Reconciliation Request'!$B$2:$B$755,Summary!$C28,'Reconciliation Request'!$F$2:$F$755,"&lt;&gt;1")</f>
        <v>20</v>
      </c>
      <c r="N28" s="115">
        <f t="shared" si="3"/>
        <v>23</v>
      </c>
      <c r="O28" s="115">
        <f>COUNTIFS('Reconciliation Request'!$A$2:$A$755,Summary!$B28,'Reconciliation Request'!$B$2:$B$755,Summary!$C28,'Reconciliation Request'!$H$2:$H$755,"&gt;0")</f>
        <v>6</v>
      </c>
      <c r="P28" s="115">
        <f t="shared" si="6"/>
        <v>17</v>
      </c>
      <c r="Q28" s="151">
        <f t="shared" si="7"/>
        <v>0.2608695652173913</v>
      </c>
      <c r="R28" s="164">
        <f>COUNTIFS('Reconciliation Request'!$A$2:$A$755,Summary!$B28,'Reconciliation Request'!$B$2:$B$755,Summary!$C28,'Reconciliation Request'!$K$2:$K$755,R$3)</f>
        <v>15</v>
      </c>
      <c r="S28" s="164">
        <f>COUNTIFS('Reconciliation Request'!$A$2:$A$755,Summary!$B28,'Reconciliation Request'!$B$2:$B$755,Summary!$C28,'Reconciliation Request'!$K$2:$K$755,S$3)</f>
        <v>5</v>
      </c>
      <c r="T28" s="164">
        <f>COUNTIFS('Reconciliation Request'!$A$2:$A$755,Summary!$B28,'Reconciliation Request'!$B$2:$B$755,Summary!$C28,'Reconciliation Request'!$K$2:$K$755,T$3)</f>
        <v>3</v>
      </c>
    </row>
    <row r="29" spans="2:20">
      <c r="B29" s="33" t="s">
        <v>239</v>
      </c>
      <c r="C29" s="106" t="s">
        <v>335</v>
      </c>
      <c r="D29" s="104">
        <f>COUNTIFS('Reconciliation Request'!$A$2:$A$755,Summary!$B29,'Reconciliation Request'!$B$2:$B$755,Summary!$C29,'Reconciliation Request'!$F$2:$F$755,"=1")</f>
        <v>2</v>
      </c>
      <c r="E29" s="104">
        <f>COUNTIFS('Reconciliation Request'!$A$2:$A$755,Summary!$B29,'Reconciliation Request'!$B$2:$B$755,Summary!$C29,'Reconciliation Request'!$J$2:$J$755,Summary!E$3,'Reconciliation Request'!$F$2:$F$755,"=1")</f>
        <v>0</v>
      </c>
      <c r="F29" s="104">
        <f>COUNTIFS('Reconciliation Request'!$A$2:$A$755,Summary!$B29,'Reconciliation Request'!$B$2:$B$755,Summary!$C29,'Reconciliation Request'!$J$2:$J$755,Summary!F$3,'Reconciliation Request'!$F$2:$F$755,"=1")</f>
        <v>0</v>
      </c>
      <c r="G29" s="104">
        <f>COUNTIFS('Reconciliation Request'!$A$2:$A$755,Summary!$B29,'Reconciliation Request'!$B$2:$B$755,Summary!$C29,'Reconciliation Request'!$J$2:$J$755,Summary!G$3,'Reconciliation Request'!$F$2:$F$755,"=1")</f>
        <v>0</v>
      </c>
      <c r="H29" s="104">
        <f>COUNTIFS('Reconciliation Request'!$A$2:$A$755,Summary!$B29,'Reconciliation Request'!$B$2:$B$755,Summary!$C29,'Reconciliation Request'!$J$2:$J$755,Summary!H$3,'Reconciliation Request'!$F$2:$F$755,"=1")</f>
        <v>2</v>
      </c>
      <c r="I29" s="104">
        <v>0</v>
      </c>
      <c r="J29" s="126">
        <v>2</v>
      </c>
      <c r="K29" s="168">
        <f t="shared" si="5"/>
        <v>0</v>
      </c>
      <c r="L29" s="123">
        <f t="shared" si="2"/>
        <v>1</v>
      </c>
      <c r="M29" s="115">
        <f>COUNTIFS('Reconciliation Request'!$A$2:$A$755,Summary!$B29,'Reconciliation Request'!$B$2:$B$755,Summary!$C29,'Reconciliation Request'!$F$2:$F$755,"&lt;&gt;1")</f>
        <v>13</v>
      </c>
      <c r="N29" s="115">
        <f t="shared" si="3"/>
        <v>15</v>
      </c>
      <c r="O29" s="115">
        <f>COUNTIFS('Reconciliation Request'!$A$2:$A$755,Summary!$B29,'Reconciliation Request'!$B$2:$B$755,Summary!$C29,'Reconciliation Request'!$H$2:$H$755,"&gt;0")</f>
        <v>4</v>
      </c>
      <c r="P29" s="115">
        <f t="shared" si="6"/>
        <v>11</v>
      </c>
      <c r="Q29" s="151">
        <f t="shared" si="7"/>
        <v>0.26666666666666666</v>
      </c>
      <c r="R29" s="164">
        <f>COUNTIFS('Reconciliation Request'!$A$2:$A$755,Summary!$B29,'Reconciliation Request'!$B$2:$B$755,Summary!$C29,'Reconciliation Request'!$K$2:$K$755,R$3)</f>
        <v>6</v>
      </c>
      <c r="S29" s="164">
        <f>COUNTIFS('Reconciliation Request'!$A$2:$A$755,Summary!$B29,'Reconciliation Request'!$B$2:$B$755,Summary!$C29,'Reconciliation Request'!$K$2:$K$755,S$3)</f>
        <v>8</v>
      </c>
      <c r="T29" s="164">
        <f>COUNTIFS('Reconciliation Request'!$A$2:$A$755,Summary!$B29,'Reconciliation Request'!$B$2:$B$755,Summary!$C29,'Reconciliation Request'!$K$2:$K$755,T$3)</f>
        <v>1</v>
      </c>
    </row>
    <row r="30" spans="2:20" hidden="1">
      <c r="B30" s="33" t="s">
        <v>239</v>
      </c>
      <c r="C30" s="106" t="s">
        <v>337</v>
      </c>
      <c r="D30" s="104">
        <f>COUNTIFS('Reconciliation Request'!$A$2:$A$755,Summary!$B30,'Reconciliation Request'!$B$2:$B$755,Summary!$C30,'Reconciliation Request'!$F$2:$F$755,"=1")</f>
        <v>1</v>
      </c>
      <c r="E30" s="104">
        <f>COUNTIFS('Reconciliation Request'!$A$2:$A$755,Summary!$B30,'Reconciliation Request'!$B$2:$B$755,Summary!$C30,'Reconciliation Request'!$J$2:$J$755,Summary!E$3,'Reconciliation Request'!$F$2:$F$755,"=1")</f>
        <v>0</v>
      </c>
      <c r="F30" s="104">
        <f>COUNTIFS('Reconciliation Request'!$A$2:$A$755,Summary!$B30,'Reconciliation Request'!$B$2:$B$755,Summary!$C30,'Reconciliation Request'!$J$2:$J$755,Summary!F$3,'Reconciliation Request'!$F$2:$F$755,"=1")</f>
        <v>0</v>
      </c>
      <c r="G30" s="104">
        <f>COUNTIFS('Reconciliation Request'!$A$2:$A$755,Summary!$B30,'Reconciliation Request'!$B$2:$B$755,Summary!$C30,'Reconciliation Request'!$J$2:$J$755,Summary!G$3,'Reconciliation Request'!$F$2:$F$755,"=1")</f>
        <v>0</v>
      </c>
      <c r="H30" s="104">
        <f>COUNTIFS('Reconciliation Request'!$A$2:$A$755,Summary!$B30,'Reconciliation Request'!$B$2:$B$755,Summary!$C30,'Reconciliation Request'!$J$2:$J$755,Summary!H$3,'Reconciliation Request'!$F$2:$F$755,"=1")</f>
        <v>1</v>
      </c>
      <c r="I30" s="104"/>
      <c r="J30" s="126">
        <f>COUNTIFS('Reconciliation Request'!$A$2:$A$755,Summary!$B30,'Reconciliation Request'!$B$2:$B$755,Summary!$C30,'Reconciliation Request'!$H$2:$H$755,"&gt;0",'Reconciliation Request'!$F$2:$F$755,"=1")</f>
        <v>0</v>
      </c>
      <c r="K30" s="168">
        <f t="shared" si="5"/>
        <v>0</v>
      </c>
      <c r="L30" s="123">
        <f t="shared" si="2"/>
        <v>0</v>
      </c>
      <c r="M30" s="115">
        <f>COUNTIFS('Reconciliation Request'!$A$2:$A$755,Summary!$B30,'Reconciliation Request'!$B$2:$B$755,Summary!$C30,'Reconciliation Request'!$F$2:$F$755,"&lt;&gt;1")</f>
        <v>0</v>
      </c>
      <c r="N30" s="115">
        <f t="shared" si="3"/>
        <v>1</v>
      </c>
      <c r="O30" s="115">
        <f>COUNTIFS('Reconciliation Request'!$A$2:$A$755,Summary!$B30,'Reconciliation Request'!$B$2:$B$755,Summary!$C30,'Reconciliation Request'!$H$2:$H$755,"&gt;0")</f>
        <v>0</v>
      </c>
      <c r="P30" s="115">
        <f t="shared" si="6"/>
        <v>1</v>
      </c>
      <c r="Q30" s="151">
        <f t="shared" si="7"/>
        <v>0</v>
      </c>
      <c r="R30" s="164">
        <f>COUNTIFS('Reconciliation Request'!$A$2:$A$755,Summary!$B30,'Reconciliation Request'!$B$2:$B$755,Summary!$C30,'Reconciliation Request'!$K$2:$K$755,R$3)</f>
        <v>0</v>
      </c>
      <c r="S30" s="164">
        <f>COUNTIFS('Reconciliation Request'!$A$2:$A$755,Summary!$B30,'Reconciliation Request'!$B$2:$B$755,Summary!$C30,'Reconciliation Request'!$K$2:$K$755,S$3)</f>
        <v>1</v>
      </c>
      <c r="T30" s="164">
        <f>COUNTIFS('Reconciliation Request'!$A$2:$A$755,Summary!$B30,'Reconciliation Request'!$B$2:$B$755,Summary!$C30,'Reconciliation Request'!$K$2:$K$755,T$3)</f>
        <v>0</v>
      </c>
    </row>
    <row r="31" spans="2:20">
      <c r="B31" s="33" t="s">
        <v>239</v>
      </c>
      <c r="C31" s="106" t="s">
        <v>338</v>
      </c>
      <c r="D31" s="104">
        <f>COUNTIFS('Reconciliation Request'!$A$2:$A$755,Summary!$B31,'Reconciliation Request'!$B$2:$B$755,Summary!$C31,'Reconciliation Request'!$F$2:$F$755,"=1")</f>
        <v>3</v>
      </c>
      <c r="E31" s="104">
        <f>COUNTIFS('Reconciliation Request'!$A$2:$A$755,Summary!$B31,'Reconciliation Request'!$B$2:$B$755,Summary!$C31,'Reconciliation Request'!$J$2:$J$755,Summary!E$3,'Reconciliation Request'!$F$2:$F$755,"=1")</f>
        <v>0</v>
      </c>
      <c r="F31" s="104">
        <f>COUNTIFS('Reconciliation Request'!$A$2:$A$755,Summary!$B31,'Reconciliation Request'!$B$2:$B$755,Summary!$C31,'Reconciliation Request'!$J$2:$J$755,Summary!F$3,'Reconciliation Request'!$F$2:$F$755,"=1")</f>
        <v>0</v>
      </c>
      <c r="G31" s="104">
        <f>COUNTIFS('Reconciliation Request'!$A$2:$A$755,Summary!$B31,'Reconciliation Request'!$B$2:$B$755,Summary!$C31,'Reconciliation Request'!$J$2:$J$755,Summary!G$3,'Reconciliation Request'!$F$2:$F$755,"=1")</f>
        <v>0</v>
      </c>
      <c r="H31" s="104">
        <f>COUNTIFS('Reconciliation Request'!$A$2:$A$755,Summary!$B31,'Reconciliation Request'!$B$2:$B$755,Summary!$C31,'Reconciliation Request'!$J$2:$J$755,Summary!H$3,'Reconciliation Request'!$F$2:$F$755,"=1")</f>
        <v>3</v>
      </c>
      <c r="I31" s="104">
        <v>0</v>
      </c>
      <c r="J31" s="126">
        <v>3</v>
      </c>
      <c r="K31" s="168">
        <f t="shared" si="5"/>
        <v>0</v>
      </c>
      <c r="L31" s="123">
        <f t="shared" si="2"/>
        <v>1</v>
      </c>
      <c r="M31" s="115">
        <f>COUNTIFS('Reconciliation Request'!$A$2:$A$755,Summary!$B31,'Reconciliation Request'!$B$2:$B$755,Summary!$C31,'Reconciliation Request'!$F$2:$F$755,"&lt;&gt;1")</f>
        <v>8</v>
      </c>
      <c r="N31" s="115">
        <f t="shared" si="3"/>
        <v>11</v>
      </c>
      <c r="O31" s="115">
        <f>COUNTIFS('Reconciliation Request'!$A$2:$A$755,Summary!$B31,'Reconciliation Request'!$B$2:$B$755,Summary!$C31,'Reconciliation Request'!$H$2:$H$755,"&gt;0")</f>
        <v>1</v>
      </c>
      <c r="P31" s="115">
        <f t="shared" si="6"/>
        <v>10</v>
      </c>
      <c r="Q31" s="151">
        <f t="shared" si="7"/>
        <v>9.0909090909090912E-2</v>
      </c>
      <c r="R31" s="164">
        <f>COUNTIFS('Reconciliation Request'!$A$2:$A$755,Summary!$B31,'Reconciliation Request'!$B$2:$B$755,Summary!$C31,'Reconciliation Request'!$K$2:$K$755,R$3)</f>
        <v>2</v>
      </c>
      <c r="S31" s="164">
        <f>COUNTIFS('Reconciliation Request'!$A$2:$A$755,Summary!$B31,'Reconciliation Request'!$B$2:$B$755,Summary!$C31,'Reconciliation Request'!$K$2:$K$755,S$3)</f>
        <v>7</v>
      </c>
      <c r="T31" s="164">
        <f>COUNTIFS('Reconciliation Request'!$A$2:$A$755,Summary!$B31,'Reconciliation Request'!$B$2:$B$755,Summary!$C31,'Reconciliation Request'!$K$2:$K$755,T$3)</f>
        <v>2</v>
      </c>
    </row>
    <row r="32" spans="2:20">
      <c r="B32" s="33" t="s">
        <v>239</v>
      </c>
      <c r="C32" s="106" t="s">
        <v>336</v>
      </c>
      <c r="D32" s="104">
        <f>COUNTIFS('Reconciliation Request'!$A$2:$A$755,Summary!$B32,'Reconciliation Request'!$B$2:$B$755,Summary!$C32,'Reconciliation Request'!$F$2:$F$755,"=1")</f>
        <v>2</v>
      </c>
      <c r="E32" s="107">
        <f>COUNTIFS('Reconciliation Request'!$A$2:$A$755,Summary!$B32,'Reconciliation Request'!$B$2:$B$755,Summary!$C32,'Reconciliation Request'!$J$2:$J$755,Summary!E$3,'Reconciliation Request'!$F$2:$F$755,"=1")</f>
        <v>0</v>
      </c>
      <c r="F32" s="104">
        <f>COUNTIFS('Reconciliation Request'!$A$2:$A$755,Summary!$B32,'Reconciliation Request'!$B$2:$B$755,Summary!$C32,'Reconciliation Request'!$J$2:$J$755,Summary!F$3,'Reconciliation Request'!$F$2:$F$755,"=1")</f>
        <v>0</v>
      </c>
      <c r="G32" s="104">
        <f>COUNTIFS('Reconciliation Request'!$A$2:$A$755,Summary!$B32,'Reconciliation Request'!$B$2:$B$755,Summary!$C32,'Reconciliation Request'!$J$2:$J$755,Summary!G$3,'Reconciliation Request'!$F$2:$F$755,"=1")</f>
        <v>0</v>
      </c>
      <c r="H32" s="104">
        <f>COUNTIFS('Reconciliation Request'!$A$2:$A$755,Summary!$B32,'Reconciliation Request'!$B$2:$B$755,Summary!$C32,'Reconciliation Request'!$J$2:$J$755,Summary!H$3,'Reconciliation Request'!$F$2:$F$755,"=1")</f>
        <v>2</v>
      </c>
      <c r="I32" s="104">
        <v>0</v>
      </c>
      <c r="J32" s="126">
        <f>COUNTIFS('Reconciliation Request'!$A$2:$A$755,Summary!$B32,'Reconciliation Request'!$B$2:$B$755,Summary!$C32,'Reconciliation Request'!$H$2:$H$755,"&gt;0",'Reconciliation Request'!$F$2:$F$755,"=1")</f>
        <v>2</v>
      </c>
      <c r="K32" s="168">
        <f t="shared" si="5"/>
        <v>0</v>
      </c>
      <c r="L32" s="123">
        <f t="shared" si="2"/>
        <v>1</v>
      </c>
      <c r="M32" s="115">
        <f>COUNTIFS('Reconciliation Request'!$A$2:$A$755,Summary!$B32,'Reconciliation Request'!$B$2:$B$755,Summary!$C32,'Reconciliation Request'!$F$2:$F$755,"&lt;&gt;1")</f>
        <v>12</v>
      </c>
      <c r="N32" s="115">
        <f t="shared" si="3"/>
        <v>14</v>
      </c>
      <c r="O32" s="115">
        <f>COUNTIFS('Reconciliation Request'!$A$2:$A$755,Summary!$B32,'Reconciliation Request'!$B$2:$B$755,Summary!$C32,'Reconciliation Request'!$H$2:$H$755,"&gt;0")</f>
        <v>6</v>
      </c>
      <c r="P32" s="115">
        <f t="shared" si="6"/>
        <v>8</v>
      </c>
      <c r="Q32" s="151">
        <f t="shared" si="7"/>
        <v>0.42857142857142855</v>
      </c>
      <c r="R32" s="164">
        <f>COUNTIFS('Reconciliation Request'!$A$2:$A$755,Summary!$B32,'Reconciliation Request'!$B$2:$B$755,Summary!$C32,'Reconciliation Request'!$K$2:$K$755,R$3)</f>
        <v>12</v>
      </c>
      <c r="S32" s="164">
        <f>COUNTIFS('Reconciliation Request'!$A$2:$A$755,Summary!$B32,'Reconciliation Request'!$B$2:$B$755,Summary!$C32,'Reconciliation Request'!$K$2:$K$755,S$3)</f>
        <v>1</v>
      </c>
      <c r="T32" s="164">
        <f>COUNTIFS('Reconciliation Request'!$A$2:$A$755,Summary!$B32,'Reconciliation Request'!$B$2:$B$755,Summary!$C32,'Reconciliation Request'!$K$2:$K$755,T$3)</f>
        <v>1</v>
      </c>
    </row>
    <row r="33" spans="2:20">
      <c r="B33" s="31" t="s">
        <v>272</v>
      </c>
      <c r="C33" s="32" t="s">
        <v>333</v>
      </c>
      <c r="D33" s="105">
        <f>COUNTIFS('Reconciliation Request'!$A$2:$A$755,Summary!$B33,'Reconciliation Request'!$B$2:$B$755,Summary!$C33,'Reconciliation Request'!$F$2:$F$755,"=1")</f>
        <v>3</v>
      </c>
      <c r="E33" s="105">
        <f>COUNTIFS('Reconciliation Request'!$A$2:$A$755,Summary!$B33,'Reconciliation Request'!$B$2:$B$755,Summary!$C33,'Reconciliation Request'!$J$2:$J$755,Summary!E$3,'Reconciliation Request'!$F$2:$F$755,"=1")</f>
        <v>0</v>
      </c>
      <c r="F33" s="105">
        <f>COUNTIFS('Reconciliation Request'!$A$2:$A$755,Summary!$B33,'Reconciliation Request'!$B$2:$B$755,Summary!$C33,'Reconciliation Request'!$J$2:$J$755,Summary!F$3,'Reconciliation Request'!$F$2:$F$755,"=1")</f>
        <v>0</v>
      </c>
      <c r="G33" s="105">
        <f>COUNTIFS('Reconciliation Request'!$A$2:$A$755,Summary!$B33,'Reconciliation Request'!$B$2:$B$755,Summary!$C33,'Reconciliation Request'!$J$2:$J$755,Summary!G$3,'Reconciliation Request'!$F$2:$F$755,"=1")</f>
        <v>0</v>
      </c>
      <c r="H33" s="105">
        <f>COUNTIFS('Reconciliation Request'!$A$2:$A$755,Summary!$B33,'Reconciliation Request'!$B$2:$B$755,Summary!$C33,'Reconciliation Request'!$J$2:$J$755,Summary!H$3,'Reconciliation Request'!$F$2:$F$755,"=1")</f>
        <v>3</v>
      </c>
      <c r="I33" s="105">
        <v>3</v>
      </c>
      <c r="J33" s="125">
        <f>COUNTIFS('Reconciliation Request'!$A$2:$A$755,Summary!$B33,'Reconciliation Request'!$B$2:$B$755,Summary!$C33,'Reconciliation Request'!$H$2:$H$755,"&gt;0",'Reconciliation Request'!$F$2:$F$755,"=1")</f>
        <v>0</v>
      </c>
      <c r="K33" s="167">
        <f t="shared" si="5"/>
        <v>1</v>
      </c>
      <c r="L33" s="122">
        <f t="shared" si="2"/>
        <v>0</v>
      </c>
      <c r="M33" s="114">
        <f>COUNTIFS('Reconciliation Request'!$A$2:$A$755,Summary!$B33,'Reconciliation Request'!$B$2:$B$755,Summary!$C33,'Reconciliation Request'!$F$2:$F$755,"&lt;&gt;1")</f>
        <v>5</v>
      </c>
      <c r="N33" s="114">
        <f t="shared" si="3"/>
        <v>8</v>
      </c>
      <c r="O33" s="114">
        <f>COUNTIFS('Reconciliation Request'!$A$2:$A$755,Summary!$B33,'Reconciliation Request'!$B$2:$B$755,Summary!$C33,'Reconciliation Request'!$H$2:$H$755,"&gt;0")</f>
        <v>0</v>
      </c>
      <c r="P33" s="114">
        <f t="shared" si="6"/>
        <v>8</v>
      </c>
      <c r="Q33" s="150">
        <f t="shared" si="7"/>
        <v>0</v>
      </c>
      <c r="R33" s="163">
        <f>COUNTIFS('Reconciliation Request'!$A$2:$A$755,Summary!$B33,'Reconciliation Request'!$B$2:$B$755,Summary!$C33,'Reconciliation Request'!$K$2:$K$755,R$3)</f>
        <v>0</v>
      </c>
      <c r="S33" s="163">
        <f>COUNTIFS('Reconciliation Request'!$A$2:$A$755,Summary!$B33,'Reconciliation Request'!$B$2:$B$755,Summary!$C33,'Reconciliation Request'!$K$2:$K$755,S$3)</f>
        <v>7</v>
      </c>
      <c r="T33" s="163">
        <f>COUNTIFS('Reconciliation Request'!$A$2:$A$755,Summary!$B33,'Reconciliation Request'!$B$2:$B$755,Summary!$C33,'Reconciliation Request'!$K$2:$K$755,T$3)</f>
        <v>1</v>
      </c>
    </row>
    <row r="34" spans="2:20">
      <c r="B34" s="33" t="s">
        <v>272</v>
      </c>
      <c r="C34" s="106" t="s">
        <v>334</v>
      </c>
      <c r="D34" s="104">
        <f>COUNTIFS('Reconciliation Request'!$A$2:$A$755,Summary!$B34,'Reconciliation Request'!$B$2:$B$755,Summary!$C34,'Reconciliation Request'!$F$2:$F$755,"=1")</f>
        <v>3</v>
      </c>
      <c r="E34" s="104">
        <f>COUNTIFS('Reconciliation Request'!$A$2:$A$755,Summary!$B34,'Reconciliation Request'!$B$2:$B$755,Summary!$C34,'Reconciliation Request'!$J$2:$J$755,Summary!E$3,'Reconciliation Request'!$F$2:$F$755,"=1")</f>
        <v>0</v>
      </c>
      <c r="F34" s="104">
        <f>COUNTIFS('Reconciliation Request'!$A$2:$A$755,Summary!$B34,'Reconciliation Request'!$B$2:$B$755,Summary!$C34,'Reconciliation Request'!$J$2:$J$755,Summary!F$3,'Reconciliation Request'!$F$2:$F$755,"=1")</f>
        <v>0</v>
      </c>
      <c r="G34" s="104">
        <f>COUNTIFS('Reconciliation Request'!$A$2:$A$755,Summary!$B34,'Reconciliation Request'!$B$2:$B$755,Summary!$C34,'Reconciliation Request'!$J$2:$J$755,Summary!G$3,'Reconciliation Request'!$F$2:$F$755,"=1")</f>
        <v>0</v>
      </c>
      <c r="H34" s="104">
        <f>COUNTIFS('Reconciliation Request'!$A$2:$A$755,Summary!$B34,'Reconciliation Request'!$B$2:$B$755,Summary!$C34,'Reconciliation Request'!$J$2:$J$755,Summary!H$3,'Reconciliation Request'!$F$2:$F$755,"=1")</f>
        <v>3</v>
      </c>
      <c r="I34" s="104">
        <v>2</v>
      </c>
      <c r="J34" s="126">
        <v>1</v>
      </c>
      <c r="K34" s="168">
        <f t="shared" si="5"/>
        <v>0.66666666666666663</v>
      </c>
      <c r="L34" s="123">
        <f t="shared" si="2"/>
        <v>0.33333333333333331</v>
      </c>
      <c r="M34" s="115">
        <f>COUNTIFS('Reconciliation Request'!$A$2:$A$755,Summary!$B34,'Reconciliation Request'!$B$2:$B$755,Summary!$C34,'Reconciliation Request'!$F$2:$F$755,"&lt;&gt;1")</f>
        <v>4</v>
      </c>
      <c r="N34" s="115">
        <f t="shared" si="3"/>
        <v>7</v>
      </c>
      <c r="O34" s="115">
        <f>COUNTIFS('Reconciliation Request'!$A$2:$A$755,Summary!$B34,'Reconciliation Request'!$B$2:$B$755,Summary!$C34,'Reconciliation Request'!$H$2:$H$755,"&gt;0")</f>
        <v>0</v>
      </c>
      <c r="P34" s="115">
        <f t="shared" si="6"/>
        <v>7</v>
      </c>
      <c r="Q34" s="151">
        <f t="shared" si="7"/>
        <v>0</v>
      </c>
      <c r="R34" s="164">
        <f>COUNTIFS('Reconciliation Request'!$A$2:$A$755,Summary!$B34,'Reconciliation Request'!$B$2:$B$755,Summary!$C34,'Reconciliation Request'!$K$2:$K$755,R$3)</f>
        <v>1</v>
      </c>
      <c r="S34" s="164">
        <f>COUNTIFS('Reconciliation Request'!$A$2:$A$755,Summary!$B34,'Reconciliation Request'!$B$2:$B$755,Summary!$C34,'Reconciliation Request'!$K$2:$K$755,S$3)</f>
        <v>6</v>
      </c>
      <c r="T34" s="164">
        <f>COUNTIFS('Reconciliation Request'!$A$2:$A$755,Summary!$B34,'Reconciliation Request'!$B$2:$B$755,Summary!$C34,'Reconciliation Request'!$K$2:$K$755,T$3)</f>
        <v>0</v>
      </c>
    </row>
    <row r="35" spans="2:20">
      <c r="B35" s="34" t="s">
        <v>272</v>
      </c>
      <c r="C35" s="35" t="s">
        <v>338</v>
      </c>
      <c r="D35" s="107">
        <f>COUNTIFS('Reconciliation Request'!$A$2:$A$755,Summary!$B35,'Reconciliation Request'!$B$2:$B$755,Summary!$C35,'Reconciliation Request'!$F$2:$F$755,"=1")</f>
        <v>2</v>
      </c>
      <c r="E35" s="107">
        <f>COUNTIFS('Reconciliation Request'!$A$2:$A$755,Summary!$B35,'Reconciliation Request'!$B$2:$B$755,Summary!$C35,'Reconciliation Request'!$J$2:$J$755,Summary!E$3,'Reconciliation Request'!$F$2:$F$755,"=1")</f>
        <v>0</v>
      </c>
      <c r="F35" s="107">
        <f>COUNTIFS('Reconciliation Request'!$A$2:$A$755,Summary!$B35,'Reconciliation Request'!$B$2:$B$755,Summary!$C35,'Reconciliation Request'!$J$2:$J$755,Summary!F$3,'Reconciliation Request'!$F$2:$F$755,"=1")</f>
        <v>0</v>
      </c>
      <c r="G35" s="107">
        <f>COUNTIFS('Reconciliation Request'!$A$2:$A$755,Summary!$B35,'Reconciliation Request'!$B$2:$B$755,Summary!$C35,'Reconciliation Request'!$J$2:$J$755,Summary!G$3,'Reconciliation Request'!$F$2:$F$755,"=1")</f>
        <v>0</v>
      </c>
      <c r="H35" s="107">
        <f>COUNTIFS('Reconciliation Request'!$A$2:$A$755,Summary!$B35,'Reconciliation Request'!$B$2:$B$755,Summary!$C35,'Reconciliation Request'!$J$2:$J$755,Summary!H$3,'Reconciliation Request'!$F$2:$F$755,"=1")</f>
        <v>2</v>
      </c>
      <c r="I35" s="107">
        <v>2</v>
      </c>
      <c r="J35" s="127">
        <f>COUNTIFS('Reconciliation Request'!$A$2:$A$755,Summary!$B35,'Reconciliation Request'!$B$2:$B$755,Summary!$C35,'Reconciliation Request'!$H$2:$H$755,"&gt;0",'Reconciliation Request'!$F$2:$F$755,"=1")</f>
        <v>0</v>
      </c>
      <c r="K35" s="169">
        <f t="shared" si="5"/>
        <v>1</v>
      </c>
      <c r="L35" s="124">
        <f t="shared" si="2"/>
        <v>0</v>
      </c>
      <c r="M35" s="116">
        <f>COUNTIFS('Reconciliation Request'!$A$2:$A$755,Summary!$B35,'Reconciliation Request'!$B$2:$B$755,Summary!$C35,'Reconciliation Request'!$F$2:$F$755,"&lt;&gt;1")</f>
        <v>4</v>
      </c>
      <c r="N35" s="116">
        <f t="shared" si="3"/>
        <v>6</v>
      </c>
      <c r="O35" s="116">
        <f>COUNTIFS('Reconciliation Request'!$A$2:$A$755,Summary!$B35,'Reconciliation Request'!$B$2:$B$755,Summary!$C35,'Reconciliation Request'!$H$2:$H$755,"&gt;0")</f>
        <v>0</v>
      </c>
      <c r="P35" s="116">
        <f t="shared" si="6"/>
        <v>6</v>
      </c>
      <c r="Q35" s="152">
        <f t="shared" si="7"/>
        <v>0</v>
      </c>
      <c r="R35" s="165">
        <f>COUNTIFS('Reconciliation Request'!$A$2:$A$755,Summary!$B35,'Reconciliation Request'!$B$2:$B$755,Summary!$C35,'Reconciliation Request'!$K$2:$K$755,R$3)</f>
        <v>0</v>
      </c>
      <c r="S35" s="165">
        <f>COUNTIFS('Reconciliation Request'!$A$2:$A$755,Summary!$B35,'Reconciliation Request'!$B$2:$B$755,Summary!$C35,'Reconciliation Request'!$K$2:$K$755,S$3)</f>
        <v>6</v>
      </c>
      <c r="T35" s="165">
        <f>COUNTIFS('Reconciliation Request'!$A$2:$A$755,Summary!$B35,'Reconciliation Request'!$B$2:$B$755,Summary!$C35,'Reconciliation Request'!$K$2:$K$755,T$3)</f>
        <v>0</v>
      </c>
    </row>
    <row r="38" spans="2:20">
      <c r="C38" s="166" t="s">
        <v>339</v>
      </c>
    </row>
    <row r="39" spans="2:20">
      <c r="C39" t="s">
        <v>340</v>
      </c>
    </row>
    <row r="40" spans="2:20">
      <c r="C40" t="s">
        <v>341</v>
      </c>
    </row>
    <row r="41" spans="2:20">
      <c r="C41" t="s">
        <v>342</v>
      </c>
    </row>
    <row r="42" spans="2:20">
      <c r="C42" t="s">
        <v>239</v>
      </c>
    </row>
    <row r="43" spans="2:20">
      <c r="C43" t="s">
        <v>272</v>
      </c>
    </row>
    <row r="46" spans="2:20" ht="27" hidden="1" customHeight="1" thickBot="1">
      <c r="C46" s="174" t="s">
        <v>343</v>
      </c>
      <c r="D46" s="178" t="s">
        <v>344</v>
      </c>
      <c r="E46" s="178"/>
      <c r="F46" s="178"/>
      <c r="G46" s="178"/>
      <c r="H46" s="178"/>
      <c r="I46" s="178"/>
      <c r="J46" s="179"/>
    </row>
    <row r="47" spans="2:20" ht="34.5" hidden="1" customHeight="1" thickBot="1">
      <c r="C47" s="175" t="s">
        <v>345</v>
      </c>
      <c r="D47" s="180" t="s">
        <v>346</v>
      </c>
      <c r="E47" s="180"/>
      <c r="F47" s="180"/>
      <c r="G47" s="180"/>
      <c r="H47" s="180"/>
      <c r="I47" s="180"/>
      <c r="J47" s="181"/>
      <c r="K47" s="108" t="s">
        <v>347</v>
      </c>
    </row>
    <row r="48" spans="2:20" ht="35.25" hidden="1" customHeight="1" thickBot="1">
      <c r="C48" s="176" t="s">
        <v>348</v>
      </c>
      <c r="D48" s="182" t="s">
        <v>349</v>
      </c>
      <c r="E48" s="182"/>
      <c r="F48" s="182"/>
      <c r="G48" s="182"/>
      <c r="H48" s="182"/>
      <c r="I48" s="182"/>
      <c r="J48" s="183"/>
      <c r="K48" s="108" t="s">
        <v>350</v>
      </c>
    </row>
    <row r="49" spans="3:10" ht="30" hidden="1" customHeight="1" thickBot="1">
      <c r="C49" s="177" t="s">
        <v>351</v>
      </c>
      <c r="D49" s="184" t="s">
        <v>352</v>
      </c>
      <c r="E49" s="184"/>
      <c r="F49" s="184"/>
      <c r="G49" s="184"/>
      <c r="H49" s="184"/>
      <c r="I49" s="184"/>
      <c r="J49" s="185"/>
    </row>
    <row r="50" spans="3:10" ht="32.25" hidden="1" customHeight="1" thickBot="1">
      <c r="C50" s="177" t="s">
        <v>239</v>
      </c>
      <c r="D50" s="184" t="s">
        <v>353</v>
      </c>
      <c r="E50" s="184"/>
      <c r="F50" s="184"/>
      <c r="G50" s="184"/>
      <c r="H50" s="184"/>
      <c r="I50" s="184"/>
      <c r="J50" s="185"/>
    </row>
  </sheetData>
  <mergeCells count="14">
    <mergeCell ref="O2:O3"/>
    <mergeCell ref="P2:P3"/>
    <mergeCell ref="Q2:Q3"/>
    <mergeCell ref="R2:T2"/>
    <mergeCell ref="B2:B3"/>
    <mergeCell ref="C2:C3"/>
    <mergeCell ref="D2:J2"/>
    <mergeCell ref="M2:M3"/>
    <mergeCell ref="N2:N3"/>
    <mergeCell ref="D46:J46"/>
    <mergeCell ref="D47:J47"/>
    <mergeCell ref="D48:J48"/>
    <mergeCell ref="D49:J49"/>
    <mergeCell ref="D50:J5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4E39-4794-419B-A216-F7CBBC9C97C7}">
  <sheetPr filterMode="1"/>
  <dimension ref="A1:S765"/>
  <sheetViews>
    <sheetView zoomScale="205" zoomScaleNormal="205" workbookViewId="0">
      <pane ySplit="1" topLeftCell="A28" activePane="bottomLeft" state="frozen"/>
      <selection pane="bottomLeft" activeCell="H38" sqref="D38:H38"/>
    </sheetView>
  </sheetViews>
  <sheetFormatPr defaultColWidth="57.28515625" defaultRowHeight="15"/>
  <cols>
    <col min="1" max="1" width="8" bestFit="1" customWidth="1"/>
    <col min="2" max="2" width="15.7109375" style="2" customWidth="1"/>
    <col min="3" max="3" width="12.28515625" bestFit="1" customWidth="1"/>
    <col min="4" max="4" width="36.85546875" customWidth="1"/>
    <col min="5" max="5" width="16.85546875" bestFit="1" customWidth="1"/>
    <col min="6" max="6" width="9.42578125" style="129" bestFit="1" customWidth="1"/>
    <col min="7" max="7" width="20.85546875" style="138" bestFit="1" customWidth="1"/>
    <col min="8" max="8" width="33.140625" style="138" bestFit="1" customWidth="1"/>
    <col min="9" max="9" width="15.140625" style="140" customWidth="1"/>
    <col min="10" max="10" width="35.5703125" style="5" bestFit="1" customWidth="1"/>
    <col min="11" max="11" width="17.28515625" customWidth="1"/>
    <col min="12" max="12" width="19.28515625" customWidth="1"/>
    <col min="13" max="13" width="19.28515625" style="5" customWidth="1"/>
    <col min="14" max="14" width="78.140625" style="11" customWidth="1"/>
    <col min="15" max="16" width="57.28515625" style="11"/>
  </cols>
  <sheetData>
    <row r="1" spans="1:19" ht="25.5">
      <c r="A1" s="4" t="s">
        <v>310</v>
      </c>
      <c r="B1" s="4" t="s">
        <v>311</v>
      </c>
      <c r="C1" s="4" t="s">
        <v>354</v>
      </c>
      <c r="D1" s="4" t="s">
        <v>355</v>
      </c>
      <c r="E1" s="4" t="s">
        <v>356</v>
      </c>
      <c r="F1" s="4" t="s">
        <v>8</v>
      </c>
      <c r="G1" s="132" t="s">
        <v>357</v>
      </c>
      <c r="H1" s="132" t="s">
        <v>358</v>
      </c>
      <c r="I1" s="141" t="s">
        <v>359</v>
      </c>
      <c r="J1" s="132" t="s">
        <v>360</v>
      </c>
      <c r="K1" s="6" t="s">
        <v>361</v>
      </c>
      <c r="L1" s="6" t="s">
        <v>362</v>
      </c>
      <c r="M1" s="6" t="s">
        <v>363</v>
      </c>
      <c r="N1" s="6" t="s">
        <v>364</v>
      </c>
      <c r="O1" s="6" t="s">
        <v>365</v>
      </c>
    </row>
    <row r="2" spans="1:19" ht="15" hidden="1" customHeight="1">
      <c r="A2" s="2" t="s">
        <v>9</v>
      </c>
      <c r="B2" s="2" t="s">
        <v>331</v>
      </c>
      <c r="C2" s="2" t="s">
        <v>366</v>
      </c>
      <c r="D2" s="2" t="s">
        <v>367</v>
      </c>
      <c r="E2" s="2"/>
      <c r="G2" s="133"/>
      <c r="H2" s="134"/>
      <c r="I2" s="133"/>
      <c r="K2" s="130" t="s">
        <v>329</v>
      </c>
      <c r="L2" s="5"/>
      <c r="N2" s="3"/>
      <c r="S2" t="s">
        <v>320</v>
      </c>
    </row>
    <row r="3" spans="1:19" ht="25.5" hidden="1" customHeight="1">
      <c r="A3" s="2" t="s">
        <v>9</v>
      </c>
      <c r="B3" s="2" t="s">
        <v>331</v>
      </c>
      <c r="C3" s="2" t="s">
        <v>368</v>
      </c>
      <c r="D3" s="2" t="s">
        <v>369</v>
      </c>
      <c r="E3" s="2"/>
      <c r="G3" s="133"/>
      <c r="H3" s="134"/>
      <c r="I3" s="133"/>
      <c r="J3" s="5" t="s">
        <v>322</v>
      </c>
      <c r="K3" s="130" t="s">
        <v>328</v>
      </c>
      <c r="L3" s="5"/>
      <c r="N3" s="3" t="s">
        <v>370</v>
      </c>
      <c r="S3" t="s">
        <v>321</v>
      </c>
    </row>
    <row r="4" spans="1:19" ht="15" hidden="1" customHeight="1">
      <c r="A4" s="2" t="s">
        <v>9</v>
      </c>
      <c r="B4" s="2" t="s">
        <v>331</v>
      </c>
      <c r="C4" s="2" t="s">
        <v>371</v>
      </c>
      <c r="D4" s="2" t="s">
        <v>372</v>
      </c>
      <c r="E4" s="2" t="s">
        <v>373</v>
      </c>
      <c r="F4" s="129">
        <v>1</v>
      </c>
      <c r="G4" s="134">
        <v>79441</v>
      </c>
      <c r="H4" s="134">
        <v>79689</v>
      </c>
      <c r="I4" s="135">
        <f>1-(H4/G4)</f>
        <v>-3.12181367304043E-3</v>
      </c>
      <c r="J4" s="5" t="s">
        <v>321</v>
      </c>
      <c r="K4" s="131" t="s">
        <v>328</v>
      </c>
      <c r="L4" s="7"/>
      <c r="M4" s="5" t="s">
        <v>374</v>
      </c>
      <c r="N4" s="3" t="s">
        <v>375</v>
      </c>
      <c r="O4" s="11" t="s">
        <v>376</v>
      </c>
      <c r="S4" t="s">
        <v>322</v>
      </c>
    </row>
    <row r="5" spans="1:19" ht="25.5" hidden="1" customHeight="1">
      <c r="A5" s="2" t="s">
        <v>9</v>
      </c>
      <c r="B5" s="2" t="s">
        <v>331</v>
      </c>
      <c r="C5" s="2" t="s">
        <v>377</v>
      </c>
      <c r="D5" s="2" t="s">
        <v>378</v>
      </c>
      <c r="E5" s="2"/>
      <c r="G5" s="134"/>
      <c r="H5" s="134"/>
      <c r="I5" s="133"/>
      <c r="J5" s="5" t="s">
        <v>379</v>
      </c>
      <c r="K5" s="130" t="s">
        <v>329</v>
      </c>
      <c r="L5" s="5"/>
      <c r="M5" s="5" t="s">
        <v>380</v>
      </c>
      <c r="N5" s="3" t="s">
        <v>381</v>
      </c>
      <c r="S5" t="s">
        <v>323</v>
      </c>
    </row>
    <row r="6" spans="1:19" ht="51" hidden="1" customHeight="1">
      <c r="A6" s="2" t="s">
        <v>9</v>
      </c>
      <c r="B6" s="2" t="s">
        <v>331</v>
      </c>
      <c r="C6" s="2" t="s">
        <v>382</v>
      </c>
      <c r="D6" s="2" t="s">
        <v>383</v>
      </c>
      <c r="E6" s="171"/>
      <c r="F6" s="129">
        <v>1</v>
      </c>
      <c r="G6" s="172">
        <v>7157</v>
      </c>
      <c r="H6" s="172">
        <v>6977</v>
      </c>
      <c r="I6" s="207">
        <f>1-H6/G6</f>
        <v>2.5150202598854254E-2</v>
      </c>
      <c r="J6" s="5" t="s">
        <v>384</v>
      </c>
      <c r="K6" s="131" t="s">
        <v>328</v>
      </c>
      <c r="L6" s="7"/>
      <c r="M6" s="5" t="s">
        <v>385</v>
      </c>
      <c r="N6" s="39" t="s">
        <v>386</v>
      </c>
      <c r="O6" s="11" t="s">
        <v>387</v>
      </c>
      <c r="S6" t="s">
        <v>388</v>
      </c>
    </row>
    <row r="7" spans="1:19" ht="15" hidden="1" customHeight="1">
      <c r="A7" s="2" t="s">
        <v>9</v>
      </c>
      <c r="B7" s="2" t="s">
        <v>331</v>
      </c>
      <c r="C7" s="2" t="s">
        <v>389</v>
      </c>
      <c r="D7" s="2" t="s">
        <v>13</v>
      </c>
      <c r="E7" s="2"/>
      <c r="G7" s="134"/>
      <c r="H7" s="134"/>
      <c r="I7" s="135"/>
      <c r="J7" s="5" t="s">
        <v>390</v>
      </c>
      <c r="K7" s="131" t="s">
        <v>329</v>
      </c>
      <c r="L7" s="7"/>
      <c r="M7" s="5" t="s">
        <v>391</v>
      </c>
      <c r="N7" s="39" t="s">
        <v>392</v>
      </c>
      <c r="S7" t="s">
        <v>390</v>
      </c>
    </row>
    <row r="8" spans="1:19" ht="15" hidden="1" customHeight="1">
      <c r="A8" s="2" t="s">
        <v>9</v>
      </c>
      <c r="B8" s="2" t="s">
        <v>331</v>
      </c>
      <c r="C8" s="2" t="s">
        <v>393</v>
      </c>
      <c r="D8" s="2" t="s">
        <v>394</v>
      </c>
      <c r="E8" s="2"/>
      <c r="G8" s="134">
        <v>841</v>
      </c>
      <c r="H8" s="143">
        <v>841</v>
      </c>
      <c r="I8" s="133"/>
      <c r="J8" s="5" t="s">
        <v>320</v>
      </c>
      <c r="K8" s="131" t="s">
        <v>328</v>
      </c>
      <c r="L8" s="5"/>
      <c r="M8" s="5" t="s">
        <v>385</v>
      </c>
      <c r="N8" s="3" t="s">
        <v>395</v>
      </c>
      <c r="S8" t="s">
        <v>384</v>
      </c>
    </row>
    <row r="9" spans="1:19" ht="15" hidden="1" customHeight="1">
      <c r="A9" s="2" t="s">
        <v>9</v>
      </c>
      <c r="B9" s="2" t="s">
        <v>331</v>
      </c>
      <c r="C9" s="2" t="s">
        <v>396</v>
      </c>
      <c r="D9" s="2" t="s">
        <v>397</v>
      </c>
      <c r="E9" s="2"/>
      <c r="G9" s="134"/>
      <c r="H9" s="134">
        <v>61876</v>
      </c>
      <c r="I9" s="133"/>
      <c r="J9" s="5" t="s">
        <v>323</v>
      </c>
      <c r="K9" s="131" t="s">
        <v>328</v>
      </c>
      <c r="L9" s="5"/>
      <c r="M9" s="5" t="s">
        <v>374</v>
      </c>
      <c r="N9" s="3"/>
      <c r="S9" t="s">
        <v>398</v>
      </c>
    </row>
    <row r="10" spans="1:19" ht="15" hidden="1" customHeight="1">
      <c r="A10" s="2" t="s">
        <v>9</v>
      </c>
      <c r="B10" s="2" t="s">
        <v>331</v>
      </c>
      <c r="C10" s="2" t="s">
        <v>399</v>
      </c>
      <c r="D10" s="2" t="s">
        <v>400</v>
      </c>
      <c r="E10" s="2"/>
      <c r="G10" s="134"/>
      <c r="H10" s="134">
        <v>17813</v>
      </c>
      <c r="I10" s="134"/>
      <c r="J10" s="5" t="s">
        <v>323</v>
      </c>
      <c r="K10" s="131" t="s">
        <v>328</v>
      </c>
      <c r="L10" s="5"/>
      <c r="M10" s="5" t="s">
        <v>374</v>
      </c>
      <c r="N10" s="3"/>
      <c r="S10" t="s">
        <v>379</v>
      </c>
    </row>
    <row r="11" spans="1:19" ht="15" hidden="1" customHeight="1">
      <c r="A11" s="2" t="s">
        <v>9</v>
      </c>
      <c r="B11" s="2" t="s">
        <v>331</v>
      </c>
      <c r="C11" s="2" t="s">
        <v>401</v>
      </c>
      <c r="D11" s="2" t="s">
        <v>402</v>
      </c>
      <c r="E11" s="2"/>
      <c r="G11" s="134"/>
      <c r="H11" s="134">
        <v>46375</v>
      </c>
      <c r="I11" s="133"/>
      <c r="J11" s="5" t="s">
        <v>323</v>
      </c>
      <c r="K11" s="131" t="s">
        <v>328</v>
      </c>
      <c r="L11" s="5"/>
      <c r="M11" s="5" t="s">
        <v>403</v>
      </c>
      <c r="N11" s="3" t="s">
        <v>404</v>
      </c>
      <c r="S11" t="s">
        <v>405</v>
      </c>
    </row>
    <row r="12" spans="1:19" ht="25.5" hidden="1" customHeight="1">
      <c r="A12" s="2" t="s">
        <v>9</v>
      </c>
      <c r="B12" s="2" t="s">
        <v>331</v>
      </c>
      <c r="C12" s="2" t="s">
        <v>406</v>
      </c>
      <c r="D12" s="2" t="s">
        <v>407</v>
      </c>
      <c r="E12" s="2"/>
      <c r="G12" s="134"/>
      <c r="H12" s="134"/>
      <c r="I12" s="133"/>
      <c r="J12" s="5" t="s">
        <v>323</v>
      </c>
      <c r="K12" s="130" t="s">
        <v>329</v>
      </c>
      <c r="L12" s="5"/>
      <c r="N12" s="3" t="s">
        <v>408</v>
      </c>
      <c r="S12" t="s">
        <v>328</v>
      </c>
    </row>
    <row r="13" spans="1:19" ht="25.5" hidden="1" customHeight="1">
      <c r="A13" s="2" t="s">
        <v>9</v>
      </c>
      <c r="B13" s="2" t="s">
        <v>331</v>
      </c>
      <c r="C13" s="2" t="s">
        <v>409</v>
      </c>
      <c r="D13" s="2" t="s">
        <v>410</v>
      </c>
      <c r="E13" s="2"/>
      <c r="G13" s="134"/>
      <c r="H13" s="134"/>
      <c r="I13" s="133"/>
      <c r="J13" s="5" t="s">
        <v>323</v>
      </c>
      <c r="K13" s="130" t="s">
        <v>329</v>
      </c>
      <c r="L13" s="5"/>
      <c r="N13" s="3"/>
      <c r="S13" t="s">
        <v>329</v>
      </c>
    </row>
    <row r="14" spans="1:19" ht="15" hidden="1" customHeight="1">
      <c r="A14" s="2" t="s">
        <v>9</v>
      </c>
      <c r="B14" s="2" t="s">
        <v>331</v>
      </c>
      <c r="C14" s="2" t="s">
        <v>411</v>
      </c>
      <c r="D14" s="2" t="s">
        <v>412</v>
      </c>
      <c r="E14" s="2" t="s">
        <v>373</v>
      </c>
      <c r="F14" s="129">
        <v>1</v>
      </c>
      <c r="G14" s="134">
        <v>35918</v>
      </c>
      <c r="H14" s="134">
        <v>35551</v>
      </c>
      <c r="I14" s="135">
        <f>1-H14/G14</f>
        <v>1.0217718135753673E-2</v>
      </c>
      <c r="J14" s="5" t="s">
        <v>321</v>
      </c>
      <c r="K14" s="131" t="s">
        <v>328</v>
      </c>
      <c r="L14" s="7"/>
      <c r="M14" s="5" t="s">
        <v>374</v>
      </c>
      <c r="N14" s="3"/>
      <c r="O14" s="11" t="s">
        <v>376</v>
      </c>
      <c r="S14" t="s">
        <v>330</v>
      </c>
    </row>
    <row r="15" spans="1:19" ht="25.5" hidden="1" customHeight="1">
      <c r="A15" s="2" t="s">
        <v>9</v>
      </c>
      <c r="B15" s="2" t="s">
        <v>331</v>
      </c>
      <c r="C15" s="2" t="s">
        <v>413</v>
      </c>
      <c r="D15" s="2" t="s">
        <v>414</v>
      </c>
      <c r="E15" s="2"/>
      <c r="G15" s="134"/>
      <c r="H15" s="134">
        <v>943</v>
      </c>
      <c r="I15" s="133"/>
      <c r="J15" s="5" t="s">
        <v>323</v>
      </c>
      <c r="K15" s="131" t="s">
        <v>328</v>
      </c>
      <c r="L15" s="5"/>
      <c r="M15" s="5" t="s">
        <v>374</v>
      </c>
      <c r="N15" s="3" t="s">
        <v>415</v>
      </c>
    </row>
    <row r="16" spans="1:19" ht="15" hidden="1" customHeight="1">
      <c r="A16" s="2" t="s">
        <v>9</v>
      </c>
      <c r="B16" s="2" t="s">
        <v>331</v>
      </c>
      <c r="C16" s="2" t="s">
        <v>416</v>
      </c>
      <c r="D16" s="2" t="s">
        <v>417</v>
      </c>
      <c r="E16" s="2"/>
      <c r="G16" s="134"/>
      <c r="H16" s="134">
        <v>16287</v>
      </c>
      <c r="I16" s="133"/>
      <c r="J16" s="5" t="s">
        <v>323</v>
      </c>
      <c r="K16" s="131" t="s">
        <v>328</v>
      </c>
      <c r="L16" s="5"/>
      <c r="M16" s="5" t="s">
        <v>374</v>
      </c>
      <c r="N16" s="3"/>
    </row>
    <row r="17" spans="1:16" ht="38.25" hidden="1" customHeight="1">
      <c r="A17" s="2" t="s">
        <v>9</v>
      </c>
      <c r="B17" s="2" t="s">
        <v>331</v>
      </c>
      <c r="C17" s="2" t="s">
        <v>418</v>
      </c>
      <c r="D17" s="2" t="s">
        <v>419</v>
      </c>
      <c r="E17" s="2"/>
      <c r="G17" s="134"/>
      <c r="H17" s="134"/>
      <c r="I17" s="133"/>
      <c r="K17" s="130" t="s">
        <v>328</v>
      </c>
      <c r="L17" s="5"/>
      <c r="N17" s="3" t="s">
        <v>420</v>
      </c>
    </row>
    <row r="18" spans="1:16" ht="15" hidden="1" customHeight="1">
      <c r="A18" s="2" t="s">
        <v>9</v>
      </c>
      <c r="B18" s="2" t="s">
        <v>331</v>
      </c>
      <c r="C18" s="2" t="s">
        <v>421</v>
      </c>
      <c r="D18" s="2" t="s">
        <v>17</v>
      </c>
      <c r="E18" s="2"/>
      <c r="G18" s="134"/>
      <c r="H18" s="134">
        <v>24</v>
      </c>
      <c r="I18" s="133"/>
      <c r="J18" s="5" t="s">
        <v>323</v>
      </c>
      <c r="K18" s="131" t="s">
        <v>328</v>
      </c>
      <c r="L18" s="5"/>
      <c r="M18" s="5" t="s">
        <v>385</v>
      </c>
      <c r="N18" s="3" t="s">
        <v>422</v>
      </c>
    </row>
    <row r="19" spans="1:16" ht="38.25" hidden="1" customHeight="1">
      <c r="A19" s="2" t="s">
        <v>9</v>
      </c>
      <c r="B19" s="2" t="s">
        <v>331</v>
      </c>
      <c r="C19" s="2" t="s">
        <v>423</v>
      </c>
      <c r="D19" s="2" t="s">
        <v>424</v>
      </c>
      <c r="E19" s="2"/>
      <c r="G19" s="134"/>
      <c r="H19" s="134"/>
      <c r="I19" s="133"/>
      <c r="J19" s="5" t="s">
        <v>323</v>
      </c>
      <c r="K19" s="130" t="s">
        <v>329</v>
      </c>
      <c r="L19" s="5"/>
      <c r="N19" s="3" t="s">
        <v>425</v>
      </c>
    </row>
    <row r="20" spans="1:16" ht="38.25" hidden="1" customHeight="1">
      <c r="A20" s="2" t="s">
        <v>9</v>
      </c>
      <c r="B20" s="2" t="s">
        <v>331</v>
      </c>
      <c r="C20" s="2" t="s">
        <v>426</v>
      </c>
      <c r="D20" s="2" t="s">
        <v>427</v>
      </c>
      <c r="E20" s="2" t="s">
        <v>373</v>
      </c>
      <c r="F20" s="129">
        <v>1</v>
      </c>
      <c r="G20" s="134">
        <v>2587</v>
      </c>
      <c r="H20" s="134">
        <v>2525</v>
      </c>
      <c r="I20" s="135">
        <f>1-H20/G20</f>
        <v>2.3965983764978716E-2</v>
      </c>
      <c r="J20" s="5" t="s">
        <v>384</v>
      </c>
      <c r="K20" s="131" t="s">
        <v>328</v>
      </c>
      <c r="L20" s="7"/>
      <c r="M20" s="5" t="s">
        <v>428</v>
      </c>
      <c r="N20" s="3" t="s">
        <v>429</v>
      </c>
      <c r="O20" s="11" t="s">
        <v>376</v>
      </c>
    </row>
    <row r="21" spans="1:16" ht="25.5" hidden="1" customHeight="1">
      <c r="A21" s="2" t="s">
        <v>9</v>
      </c>
      <c r="B21" s="2" t="s">
        <v>331</v>
      </c>
      <c r="C21" s="2" t="s">
        <v>430</v>
      </c>
      <c r="D21" s="2" t="s">
        <v>431</v>
      </c>
      <c r="E21" s="2" t="s">
        <v>432</v>
      </c>
      <c r="F21" s="129">
        <v>1</v>
      </c>
      <c r="G21" s="134">
        <v>685</v>
      </c>
      <c r="H21" s="134">
        <v>685</v>
      </c>
      <c r="I21" s="135">
        <f>1-H21/G21</f>
        <v>0</v>
      </c>
      <c r="J21" s="5" t="s">
        <v>320</v>
      </c>
      <c r="K21" s="131" t="s">
        <v>328</v>
      </c>
      <c r="L21" s="7"/>
      <c r="M21" s="5" t="s">
        <v>433</v>
      </c>
      <c r="N21" s="39" t="s">
        <v>434</v>
      </c>
      <c r="O21" s="11" t="s">
        <v>435</v>
      </c>
    </row>
    <row r="22" spans="1:16" ht="38.25" hidden="1" customHeight="1">
      <c r="A22" s="2" t="s">
        <v>9</v>
      </c>
      <c r="B22" s="2" t="s">
        <v>331</v>
      </c>
      <c r="C22" s="2" t="s">
        <v>436</v>
      </c>
      <c r="D22" s="2" t="s">
        <v>437</v>
      </c>
      <c r="E22" s="2"/>
      <c r="G22" s="134">
        <v>671</v>
      </c>
      <c r="H22" s="134">
        <v>671</v>
      </c>
      <c r="I22" s="135">
        <f>1-H22/G22</f>
        <v>0</v>
      </c>
      <c r="J22" s="5" t="s">
        <v>320</v>
      </c>
      <c r="K22" s="131" t="s">
        <v>328</v>
      </c>
      <c r="L22" s="7"/>
      <c r="M22" s="5" t="s">
        <v>438</v>
      </c>
      <c r="N22" s="3" t="s">
        <v>439</v>
      </c>
    </row>
    <row r="23" spans="1:16" ht="38.25" hidden="1" customHeight="1">
      <c r="A23" s="2" t="s">
        <v>9</v>
      </c>
      <c r="B23" s="2" t="s">
        <v>331</v>
      </c>
      <c r="C23" s="2" t="s">
        <v>440</v>
      </c>
      <c r="D23" s="2" t="s">
        <v>441</v>
      </c>
      <c r="E23" s="2"/>
      <c r="G23" s="134"/>
      <c r="H23" s="134"/>
      <c r="I23" s="135"/>
      <c r="J23" s="5" t="s">
        <v>323</v>
      </c>
      <c r="K23" s="130" t="s">
        <v>329</v>
      </c>
      <c r="L23" s="7"/>
      <c r="N23" s="3"/>
    </row>
    <row r="24" spans="1:16" ht="15" hidden="1" customHeight="1">
      <c r="A24" s="2" t="s">
        <v>9</v>
      </c>
      <c r="B24" s="2" t="s">
        <v>331</v>
      </c>
      <c r="C24" s="2" t="s">
        <v>442</v>
      </c>
      <c r="D24" s="2" t="s">
        <v>28</v>
      </c>
      <c r="E24" s="2"/>
      <c r="G24" s="134"/>
      <c r="H24" s="134">
        <f>H6-H21-H22-H8</f>
        <v>4780</v>
      </c>
      <c r="I24" s="133"/>
      <c r="J24" s="5" t="s">
        <v>323</v>
      </c>
      <c r="K24" s="131" t="s">
        <v>328</v>
      </c>
      <c r="L24" s="5"/>
      <c r="M24" s="5" t="s">
        <v>374</v>
      </c>
      <c r="N24" s="3"/>
    </row>
    <row r="25" spans="1:16" ht="15" hidden="1" customHeight="1">
      <c r="A25" s="2" t="s">
        <v>9</v>
      </c>
      <c r="B25" s="2" t="s">
        <v>331</v>
      </c>
      <c r="C25" s="2" t="s">
        <v>443</v>
      </c>
      <c r="D25" s="2" t="s">
        <v>444</v>
      </c>
      <c r="E25" s="2"/>
      <c r="G25" s="134"/>
      <c r="H25" s="134">
        <v>4058</v>
      </c>
      <c r="I25" s="133"/>
      <c r="J25" s="5" t="s">
        <v>323</v>
      </c>
      <c r="K25" s="131" t="s">
        <v>328</v>
      </c>
      <c r="L25" s="5"/>
      <c r="M25" s="5" t="s">
        <v>428</v>
      </c>
      <c r="N25" s="3" t="s">
        <v>445</v>
      </c>
    </row>
    <row r="26" spans="1:16" ht="15" hidden="1" customHeight="1">
      <c r="A26" s="2" t="s">
        <v>9</v>
      </c>
      <c r="B26" s="2" t="s">
        <v>331</v>
      </c>
      <c r="C26" s="2" t="s">
        <v>446</v>
      </c>
      <c r="D26" s="2" t="s">
        <v>447</v>
      </c>
      <c r="E26" s="2"/>
      <c r="G26" s="134"/>
      <c r="H26" s="134" t="s">
        <v>448</v>
      </c>
      <c r="I26" s="133"/>
      <c r="J26" s="5" t="s">
        <v>379</v>
      </c>
      <c r="K26" s="130" t="s">
        <v>329</v>
      </c>
      <c r="L26" s="5"/>
      <c r="M26" s="5" t="s">
        <v>449</v>
      </c>
      <c r="N26" s="3" t="s">
        <v>450</v>
      </c>
    </row>
    <row r="27" spans="1:16" ht="15" hidden="1" customHeight="1">
      <c r="A27" s="2" t="s">
        <v>9</v>
      </c>
      <c r="B27" s="2" t="s">
        <v>331</v>
      </c>
      <c r="C27" s="2" t="s">
        <v>451</v>
      </c>
      <c r="D27" s="2" t="s">
        <v>452</v>
      </c>
      <c r="E27" s="2"/>
      <c r="G27" s="134"/>
      <c r="H27" s="134">
        <v>1586</v>
      </c>
      <c r="I27" s="133"/>
      <c r="J27" s="5" t="s">
        <v>323</v>
      </c>
      <c r="K27" s="131" t="s">
        <v>328</v>
      </c>
      <c r="L27" s="5"/>
      <c r="M27" s="5" t="s">
        <v>428</v>
      </c>
      <c r="N27" s="3" t="s">
        <v>453</v>
      </c>
    </row>
    <row r="28" spans="1:16" ht="76.5" hidden="1" customHeight="1">
      <c r="A28" s="2" t="s">
        <v>9</v>
      </c>
      <c r="B28" s="2" t="s">
        <v>331</v>
      </c>
      <c r="C28" s="2" t="s">
        <v>454</v>
      </c>
      <c r="D28" s="2" t="s">
        <v>455</v>
      </c>
      <c r="E28" s="2"/>
      <c r="F28" s="129">
        <v>1</v>
      </c>
      <c r="G28" s="134"/>
      <c r="H28" s="134">
        <v>1198</v>
      </c>
      <c r="I28" s="133"/>
      <c r="J28" s="5" t="s">
        <v>323</v>
      </c>
      <c r="K28" s="130" t="s">
        <v>328</v>
      </c>
      <c r="L28" s="5" t="s">
        <v>456</v>
      </c>
      <c r="M28" s="5" t="s">
        <v>428</v>
      </c>
      <c r="N28" s="39" t="s">
        <v>457</v>
      </c>
      <c r="O28" s="11" t="s">
        <v>458</v>
      </c>
      <c r="P28"/>
    </row>
    <row r="29" spans="1:16" ht="25.5" hidden="1" customHeight="1">
      <c r="A29" s="2" t="s">
        <v>9</v>
      </c>
      <c r="B29" s="2" t="s">
        <v>331</v>
      </c>
      <c r="C29" s="2" t="s">
        <v>459</v>
      </c>
      <c r="D29" s="14" t="s">
        <v>460</v>
      </c>
      <c r="E29" s="2"/>
      <c r="G29" s="134"/>
      <c r="H29" s="134" t="s">
        <v>448</v>
      </c>
      <c r="I29" s="133"/>
      <c r="J29" s="5" t="s">
        <v>323</v>
      </c>
      <c r="K29" s="130" t="s">
        <v>329</v>
      </c>
      <c r="L29" s="5"/>
      <c r="N29" s="3" t="s">
        <v>461</v>
      </c>
    </row>
    <row r="30" spans="1:16" ht="15" hidden="1" customHeight="1">
      <c r="A30" s="2" t="s">
        <v>9</v>
      </c>
      <c r="B30" s="2" t="s">
        <v>331</v>
      </c>
      <c r="C30" s="2" t="s">
        <v>462</v>
      </c>
      <c r="D30" s="14" t="s">
        <v>463</v>
      </c>
      <c r="E30" s="2"/>
      <c r="G30" s="134"/>
      <c r="H30" s="134"/>
      <c r="I30" s="133"/>
      <c r="J30" s="5" t="s">
        <v>323</v>
      </c>
      <c r="K30" s="130" t="s">
        <v>329</v>
      </c>
      <c r="L30" s="5"/>
      <c r="N30" s="3" t="s">
        <v>461</v>
      </c>
    </row>
    <row r="31" spans="1:16" ht="15" hidden="1" customHeight="1">
      <c r="A31" s="2" t="s">
        <v>9</v>
      </c>
      <c r="B31" s="2" t="s">
        <v>331</v>
      </c>
      <c r="C31" s="2" t="s">
        <v>464</v>
      </c>
      <c r="D31" s="14" t="s">
        <v>465</v>
      </c>
      <c r="E31" s="2"/>
      <c r="G31" s="134"/>
      <c r="H31" s="134"/>
      <c r="I31" s="133"/>
      <c r="J31" s="5" t="s">
        <v>323</v>
      </c>
      <c r="K31" s="130" t="s">
        <v>329</v>
      </c>
      <c r="L31" s="5"/>
      <c r="N31" s="3" t="s">
        <v>461</v>
      </c>
    </row>
    <row r="32" spans="1:16" ht="15" hidden="1" customHeight="1">
      <c r="A32" s="2" t="s">
        <v>9</v>
      </c>
      <c r="B32" s="2" t="s">
        <v>331</v>
      </c>
      <c r="C32" s="2" t="s">
        <v>466</v>
      </c>
      <c r="D32" s="14" t="s">
        <v>467</v>
      </c>
      <c r="E32" s="2"/>
      <c r="G32" s="134"/>
      <c r="H32" s="134"/>
      <c r="I32" s="133"/>
      <c r="J32" s="5" t="s">
        <v>323</v>
      </c>
      <c r="K32" s="130" t="s">
        <v>329</v>
      </c>
      <c r="L32" s="5"/>
      <c r="N32" s="3" t="s">
        <v>461</v>
      </c>
    </row>
    <row r="33" spans="1:15" ht="15" hidden="1" customHeight="1">
      <c r="A33" s="2" t="s">
        <v>9</v>
      </c>
      <c r="B33" s="2" t="s">
        <v>331</v>
      </c>
      <c r="C33" s="2" t="s">
        <v>468</v>
      </c>
      <c r="D33" s="14" t="s">
        <v>469</v>
      </c>
      <c r="E33" s="2"/>
      <c r="G33" s="134"/>
      <c r="H33" s="134"/>
      <c r="I33" s="133"/>
      <c r="J33" s="5" t="s">
        <v>323</v>
      </c>
      <c r="K33" s="130" t="s">
        <v>329</v>
      </c>
      <c r="L33" s="5"/>
      <c r="N33" s="3" t="s">
        <v>461</v>
      </c>
    </row>
    <row r="34" spans="1:15" ht="15" hidden="1" customHeight="1">
      <c r="A34" s="2" t="s">
        <v>9</v>
      </c>
      <c r="B34" s="2" t="s">
        <v>331</v>
      </c>
      <c r="C34" s="2" t="s">
        <v>470</v>
      </c>
      <c r="D34" s="14" t="s">
        <v>471</v>
      </c>
      <c r="E34" s="2"/>
      <c r="G34" s="134"/>
      <c r="H34" s="134"/>
      <c r="I34" s="133"/>
      <c r="J34" s="5" t="s">
        <v>323</v>
      </c>
      <c r="K34" s="130" t="s">
        <v>329</v>
      </c>
      <c r="L34" s="5"/>
      <c r="N34" s="3" t="s">
        <v>461</v>
      </c>
    </row>
    <row r="35" spans="1:15" ht="24.75" hidden="1" customHeight="1">
      <c r="A35" s="2" t="s">
        <v>9</v>
      </c>
      <c r="B35" s="2" t="s">
        <v>331</v>
      </c>
      <c r="C35" s="2" t="s">
        <v>472</v>
      </c>
      <c r="D35" s="2" t="s">
        <v>473</v>
      </c>
      <c r="E35" s="2"/>
      <c r="G35" s="134">
        <v>2890</v>
      </c>
      <c r="H35" s="134">
        <v>2890</v>
      </c>
      <c r="I35" s="135">
        <v>0</v>
      </c>
      <c r="J35" s="5" t="s">
        <v>320</v>
      </c>
      <c r="K35" s="131" t="s">
        <v>328</v>
      </c>
      <c r="L35" s="7"/>
      <c r="M35" s="5" t="s">
        <v>474</v>
      </c>
      <c r="N35" s="3" t="s">
        <v>475</v>
      </c>
    </row>
    <row r="36" spans="1:15" ht="15" hidden="1" customHeight="1">
      <c r="A36" s="2" t="s">
        <v>9</v>
      </c>
      <c r="B36" s="2" t="s">
        <v>331</v>
      </c>
      <c r="C36" s="2" t="s">
        <v>476</v>
      </c>
      <c r="D36" s="2" t="s">
        <v>477</v>
      </c>
      <c r="E36" s="2"/>
      <c r="F36" s="129">
        <v>1</v>
      </c>
      <c r="G36" s="134">
        <v>2580</v>
      </c>
      <c r="H36" s="134">
        <v>2580</v>
      </c>
      <c r="I36" s="135">
        <v>0</v>
      </c>
      <c r="J36" s="5" t="s">
        <v>320</v>
      </c>
      <c r="K36" s="130" t="s">
        <v>328</v>
      </c>
      <c r="L36" s="5"/>
      <c r="M36" s="5" t="s">
        <v>478</v>
      </c>
      <c r="N36" s="13"/>
      <c r="O36" t="s">
        <v>479</v>
      </c>
    </row>
    <row r="37" spans="1:15" ht="57" hidden="1" customHeight="1">
      <c r="A37" s="2" t="s">
        <v>9</v>
      </c>
      <c r="B37" s="2" t="s">
        <v>331</v>
      </c>
      <c r="C37" s="2" t="s">
        <v>480</v>
      </c>
      <c r="D37" s="2" t="s">
        <v>481</v>
      </c>
      <c r="E37" s="2"/>
      <c r="F37" s="129">
        <v>1</v>
      </c>
      <c r="G37" s="134">
        <v>1178</v>
      </c>
      <c r="H37" s="134">
        <v>1178</v>
      </c>
      <c r="I37" s="135">
        <v>0</v>
      </c>
      <c r="J37" s="5" t="s">
        <v>320</v>
      </c>
      <c r="K37" s="130" t="s">
        <v>328</v>
      </c>
      <c r="L37" s="5"/>
      <c r="M37" s="5" t="s">
        <v>482</v>
      </c>
      <c r="N37" s="39" t="s">
        <v>483</v>
      </c>
      <c r="O37" s="11" t="s">
        <v>484</v>
      </c>
    </row>
    <row r="38" spans="1:15" ht="57" hidden="1" customHeight="1">
      <c r="A38" s="2" t="s">
        <v>9</v>
      </c>
      <c r="B38" s="2" t="s">
        <v>331</v>
      </c>
      <c r="C38" s="2" t="s">
        <v>485</v>
      </c>
      <c r="D38" s="2" t="s">
        <v>486</v>
      </c>
      <c r="E38" s="2"/>
      <c r="G38" s="134"/>
      <c r="H38" s="134"/>
      <c r="I38" s="133"/>
      <c r="J38" s="5" t="s">
        <v>323</v>
      </c>
      <c r="K38" s="130" t="s">
        <v>329</v>
      </c>
      <c r="L38" s="5"/>
      <c r="N38" s="39" t="s">
        <v>487</v>
      </c>
    </row>
    <row r="39" spans="1:15" ht="76.5" hidden="1" customHeight="1">
      <c r="A39" s="2" t="s">
        <v>9</v>
      </c>
      <c r="B39" s="2" t="s">
        <v>331</v>
      </c>
      <c r="C39" s="2" t="s">
        <v>488</v>
      </c>
      <c r="D39" s="2" t="s">
        <v>489</v>
      </c>
      <c r="E39" s="2"/>
      <c r="G39" s="134"/>
      <c r="H39" s="134">
        <v>1646</v>
      </c>
      <c r="I39" s="133"/>
      <c r="J39" s="5" t="s">
        <v>323</v>
      </c>
      <c r="K39" s="131" t="s">
        <v>328</v>
      </c>
      <c r="L39" s="5"/>
      <c r="M39" s="5" t="s">
        <v>490</v>
      </c>
      <c r="N39" s="39" t="s">
        <v>491</v>
      </c>
      <c r="O39" s="11" t="s">
        <v>484</v>
      </c>
    </row>
    <row r="40" spans="1:15" ht="25.5" hidden="1" customHeight="1">
      <c r="A40" s="2" t="s">
        <v>9</v>
      </c>
      <c r="B40" s="2" t="s">
        <v>331</v>
      </c>
      <c r="C40" s="2" t="s">
        <v>492</v>
      </c>
      <c r="D40" s="2" t="s">
        <v>493</v>
      </c>
      <c r="E40" s="2"/>
      <c r="G40" s="134"/>
      <c r="H40" s="134">
        <v>1178</v>
      </c>
      <c r="I40" s="133"/>
      <c r="J40" s="5" t="s">
        <v>323</v>
      </c>
      <c r="K40" s="131" t="s">
        <v>328</v>
      </c>
      <c r="L40" s="5"/>
      <c r="M40" s="5" t="s">
        <v>494</v>
      </c>
      <c r="N40" s="39"/>
    </row>
    <row r="41" spans="1:15" ht="25.5" hidden="1" customHeight="1">
      <c r="A41" s="2" t="s">
        <v>9</v>
      </c>
      <c r="B41" s="2" t="s">
        <v>331</v>
      </c>
      <c r="C41" s="2" t="s">
        <v>495</v>
      </c>
      <c r="D41" s="2" t="s">
        <v>496</v>
      </c>
      <c r="E41" s="2"/>
      <c r="F41" s="129">
        <v>1</v>
      </c>
      <c r="G41" s="134"/>
      <c r="H41" s="134">
        <v>3924</v>
      </c>
      <c r="I41" s="133"/>
      <c r="J41" s="5" t="s">
        <v>323</v>
      </c>
      <c r="K41" s="130" t="s">
        <v>328</v>
      </c>
      <c r="L41" s="5"/>
      <c r="M41" s="5" t="s">
        <v>478</v>
      </c>
      <c r="N41" s="13" t="s">
        <v>497</v>
      </c>
      <c r="O41" s="11" t="s">
        <v>498</v>
      </c>
    </row>
    <row r="42" spans="1:15" ht="25.5" hidden="1" customHeight="1">
      <c r="A42" s="2" t="s">
        <v>9</v>
      </c>
      <c r="B42" s="2" t="s">
        <v>331</v>
      </c>
      <c r="C42" s="2" t="s">
        <v>499</v>
      </c>
      <c r="D42" s="2" t="s">
        <v>500</v>
      </c>
      <c r="E42" s="2"/>
      <c r="G42" s="134"/>
      <c r="H42" s="134">
        <v>28</v>
      </c>
      <c r="I42" s="133"/>
      <c r="J42" s="5" t="s">
        <v>323</v>
      </c>
      <c r="K42" s="131" t="s">
        <v>328</v>
      </c>
      <c r="L42" s="5"/>
      <c r="M42" s="5" t="s">
        <v>501</v>
      </c>
      <c r="N42" s="3" t="s">
        <v>502</v>
      </c>
    </row>
    <row r="43" spans="1:15" ht="15" hidden="1" customHeight="1">
      <c r="A43" s="2" t="s">
        <v>9</v>
      </c>
      <c r="B43" s="2" t="s">
        <v>331</v>
      </c>
      <c r="C43" s="2" t="s">
        <v>503</v>
      </c>
      <c r="D43" s="2" t="s">
        <v>504</v>
      </c>
      <c r="E43" s="2"/>
      <c r="G43" s="134"/>
      <c r="H43" s="134">
        <v>3918</v>
      </c>
      <c r="I43" s="133"/>
      <c r="J43" s="5" t="s">
        <v>323</v>
      </c>
      <c r="K43" s="131" t="s">
        <v>328</v>
      </c>
      <c r="L43" s="5"/>
      <c r="M43" s="5" t="s">
        <v>478</v>
      </c>
      <c r="N43" s="3" t="s">
        <v>505</v>
      </c>
    </row>
    <row r="44" spans="1:15" ht="25.5" hidden="1" customHeight="1">
      <c r="A44" s="2" t="s">
        <v>9</v>
      </c>
      <c r="B44" s="2" t="s">
        <v>331</v>
      </c>
      <c r="C44" s="2" t="s">
        <v>506</v>
      </c>
      <c r="D44" s="2" t="s">
        <v>507</v>
      </c>
      <c r="E44" s="2"/>
      <c r="F44" s="129">
        <v>1</v>
      </c>
      <c r="G44" s="134">
        <v>15231</v>
      </c>
      <c r="H44" s="134">
        <v>14919</v>
      </c>
      <c r="I44" s="135">
        <f>1-H44/G44</f>
        <v>2.0484538113058948E-2</v>
      </c>
      <c r="J44" s="5" t="s">
        <v>384</v>
      </c>
      <c r="K44" s="131" t="s">
        <v>328</v>
      </c>
      <c r="L44" s="7"/>
      <c r="M44" s="5" t="s">
        <v>374</v>
      </c>
      <c r="N44" s="3" t="s">
        <v>508</v>
      </c>
      <c r="O44" s="11" t="s">
        <v>376</v>
      </c>
    </row>
    <row r="45" spans="1:15" ht="15" hidden="1" customHeight="1">
      <c r="A45" s="2" t="s">
        <v>9</v>
      </c>
      <c r="B45" s="2" t="s">
        <v>331</v>
      </c>
      <c r="C45" s="2" t="s">
        <v>509</v>
      </c>
      <c r="D45" s="2" t="s">
        <v>31</v>
      </c>
      <c r="E45" s="2"/>
      <c r="F45" s="129">
        <v>1</v>
      </c>
      <c r="G45" s="134">
        <v>1485</v>
      </c>
      <c r="H45" s="134">
        <v>1507</v>
      </c>
      <c r="I45" s="135">
        <f>1-H45/G45</f>
        <v>-1.4814814814814836E-2</v>
      </c>
      <c r="J45" s="5" t="s">
        <v>321</v>
      </c>
      <c r="K45" s="131" t="s">
        <v>328</v>
      </c>
      <c r="L45" s="7"/>
      <c r="M45" s="5" t="s">
        <v>374</v>
      </c>
      <c r="N45" s="3" t="s">
        <v>510</v>
      </c>
      <c r="O45" s="11" t="s">
        <v>376</v>
      </c>
    </row>
    <row r="46" spans="1:15" ht="15" hidden="1" customHeight="1">
      <c r="A46" s="2" t="s">
        <v>9</v>
      </c>
      <c r="B46" s="2" t="s">
        <v>331</v>
      </c>
      <c r="C46" s="2" t="s">
        <v>511</v>
      </c>
      <c r="D46" s="2" t="s">
        <v>512</v>
      </c>
      <c r="E46" s="2"/>
      <c r="G46" s="134"/>
      <c r="H46" s="134">
        <f>H44-H45</f>
        <v>13412</v>
      </c>
      <c r="I46" s="133"/>
      <c r="J46" s="5" t="s">
        <v>323</v>
      </c>
      <c r="K46" s="131" t="s">
        <v>328</v>
      </c>
      <c r="L46" s="5"/>
      <c r="N46" s="3" t="s">
        <v>513</v>
      </c>
    </row>
    <row r="47" spans="1:15" ht="15" hidden="1" customHeight="1">
      <c r="A47" s="2" t="s">
        <v>9</v>
      </c>
      <c r="B47" s="2" t="s">
        <v>331</v>
      </c>
      <c r="C47" s="2" t="s">
        <v>514</v>
      </c>
      <c r="D47" s="14" t="s">
        <v>515</v>
      </c>
      <c r="E47" s="14"/>
      <c r="G47" s="136"/>
      <c r="H47" s="136"/>
      <c r="I47" s="137"/>
      <c r="J47" s="5" t="s">
        <v>323</v>
      </c>
      <c r="K47" s="153" t="s">
        <v>329</v>
      </c>
      <c r="L47" s="43"/>
      <c r="N47" s="198" t="s">
        <v>516</v>
      </c>
    </row>
    <row r="48" spans="1:15" ht="15" hidden="1" customHeight="1">
      <c r="A48" s="2" t="s">
        <v>9</v>
      </c>
      <c r="B48" s="2" t="s">
        <v>331</v>
      </c>
      <c r="C48" s="2" t="s">
        <v>517</v>
      </c>
      <c r="D48" s="14" t="s">
        <v>518</v>
      </c>
      <c r="E48" s="14"/>
      <c r="G48" s="136"/>
      <c r="H48" s="136"/>
      <c r="I48" s="137"/>
      <c r="J48" s="5" t="s">
        <v>323</v>
      </c>
      <c r="K48" s="153" t="s">
        <v>329</v>
      </c>
      <c r="L48" s="44"/>
      <c r="N48" s="199"/>
    </row>
    <row r="49" spans="1:14" ht="25.5" hidden="1" customHeight="1">
      <c r="A49" s="2" t="s">
        <v>9</v>
      </c>
      <c r="B49" s="2" t="s">
        <v>331</v>
      </c>
      <c r="C49" s="2" t="s">
        <v>519</v>
      </c>
      <c r="D49" s="14" t="s">
        <v>520</v>
      </c>
      <c r="E49" s="14"/>
      <c r="G49" s="136"/>
      <c r="H49" s="136"/>
      <c r="I49" s="137"/>
      <c r="J49" s="5" t="s">
        <v>323</v>
      </c>
      <c r="K49" s="153" t="s">
        <v>329</v>
      </c>
      <c r="L49" s="44"/>
      <c r="N49" s="199"/>
    </row>
    <row r="50" spans="1:14" ht="15" hidden="1" customHeight="1">
      <c r="A50" s="2" t="s">
        <v>9</v>
      </c>
      <c r="B50" s="2" t="s">
        <v>331</v>
      </c>
      <c r="C50" s="2" t="s">
        <v>521</v>
      </c>
      <c r="D50" s="14" t="s">
        <v>522</v>
      </c>
      <c r="E50" s="14"/>
      <c r="G50" s="136"/>
      <c r="H50" s="136"/>
      <c r="I50" s="137"/>
      <c r="J50" s="5" t="s">
        <v>323</v>
      </c>
      <c r="K50" s="153" t="s">
        <v>329</v>
      </c>
      <c r="L50" s="44"/>
      <c r="N50" s="199"/>
    </row>
    <row r="51" spans="1:14" ht="15" hidden="1" customHeight="1">
      <c r="A51" s="2" t="s">
        <v>9</v>
      </c>
      <c r="B51" s="2" t="s">
        <v>331</v>
      </c>
      <c r="C51" s="2" t="s">
        <v>523</v>
      </c>
      <c r="D51" s="14" t="s">
        <v>524</v>
      </c>
      <c r="E51" s="14"/>
      <c r="G51" s="136"/>
      <c r="H51" s="136"/>
      <c r="I51" s="137"/>
      <c r="J51" s="5" t="s">
        <v>323</v>
      </c>
      <c r="K51" s="153" t="s">
        <v>329</v>
      </c>
      <c r="L51" s="44"/>
      <c r="N51" s="199"/>
    </row>
    <row r="52" spans="1:14" ht="15" hidden="1" customHeight="1">
      <c r="A52" s="2" t="s">
        <v>9</v>
      </c>
      <c r="B52" s="2" t="s">
        <v>331</v>
      </c>
      <c r="C52" s="2" t="s">
        <v>525</v>
      </c>
      <c r="D52" s="14" t="s">
        <v>526</v>
      </c>
      <c r="E52" s="14"/>
      <c r="G52" s="136"/>
      <c r="H52" s="136"/>
      <c r="I52" s="137"/>
      <c r="J52" s="5" t="s">
        <v>323</v>
      </c>
      <c r="K52" s="153" t="s">
        <v>329</v>
      </c>
      <c r="L52" s="44"/>
      <c r="N52" s="199"/>
    </row>
    <row r="53" spans="1:14" ht="15" hidden="1" customHeight="1">
      <c r="A53" s="2" t="s">
        <v>9</v>
      </c>
      <c r="B53" s="2" t="s">
        <v>331</v>
      </c>
      <c r="C53" s="2" t="s">
        <v>527</v>
      </c>
      <c r="D53" s="14" t="s">
        <v>528</v>
      </c>
      <c r="E53" s="14"/>
      <c r="G53" s="136"/>
      <c r="H53" s="136"/>
      <c r="I53" s="137"/>
      <c r="J53" s="5" t="s">
        <v>323</v>
      </c>
      <c r="K53" s="153" t="s">
        <v>329</v>
      </c>
      <c r="L53" s="44"/>
      <c r="N53" s="199"/>
    </row>
    <row r="54" spans="1:14" ht="25.5" hidden="1" customHeight="1">
      <c r="A54" s="2" t="s">
        <v>9</v>
      </c>
      <c r="B54" s="2" t="s">
        <v>331</v>
      </c>
      <c r="C54" s="2" t="s">
        <v>529</v>
      </c>
      <c r="D54" s="14" t="s">
        <v>530</v>
      </c>
      <c r="E54" s="14"/>
      <c r="G54" s="136"/>
      <c r="H54" s="136"/>
      <c r="I54" s="137"/>
      <c r="J54" s="5" t="s">
        <v>323</v>
      </c>
      <c r="K54" s="153" t="s">
        <v>329</v>
      </c>
      <c r="L54" s="44"/>
      <c r="N54" s="199"/>
    </row>
    <row r="55" spans="1:14" ht="25.5" hidden="1" customHeight="1">
      <c r="A55" s="2" t="s">
        <v>9</v>
      </c>
      <c r="B55" s="2" t="s">
        <v>331</v>
      </c>
      <c r="C55" s="2" t="s">
        <v>531</v>
      </c>
      <c r="D55" s="14" t="s">
        <v>532</v>
      </c>
      <c r="E55" s="14"/>
      <c r="G55" s="136"/>
      <c r="H55" s="136"/>
      <c r="I55" s="137"/>
      <c r="J55" s="5" t="s">
        <v>323</v>
      </c>
      <c r="K55" s="153" t="s">
        <v>329</v>
      </c>
      <c r="L55" s="44"/>
      <c r="N55" s="199"/>
    </row>
    <row r="56" spans="1:14" ht="25.5" hidden="1" customHeight="1">
      <c r="A56" s="2" t="s">
        <v>9</v>
      </c>
      <c r="B56" s="2" t="s">
        <v>331</v>
      </c>
      <c r="C56" s="2" t="s">
        <v>533</v>
      </c>
      <c r="D56" s="14" t="s">
        <v>534</v>
      </c>
      <c r="E56" s="14"/>
      <c r="G56" s="136"/>
      <c r="H56" s="136"/>
      <c r="I56" s="137"/>
      <c r="J56" s="5" t="s">
        <v>323</v>
      </c>
      <c r="K56" s="153" t="s">
        <v>329</v>
      </c>
      <c r="L56" s="44"/>
      <c r="N56" s="199"/>
    </row>
    <row r="57" spans="1:14" ht="15" hidden="1" customHeight="1">
      <c r="A57" s="2" t="s">
        <v>9</v>
      </c>
      <c r="B57" s="2" t="s">
        <v>331</v>
      </c>
      <c r="C57" s="2" t="s">
        <v>535</v>
      </c>
      <c r="D57" s="14" t="s">
        <v>536</v>
      </c>
      <c r="E57" s="14"/>
      <c r="G57" s="136"/>
      <c r="H57" s="136"/>
      <c r="I57" s="137"/>
      <c r="J57" s="5" t="s">
        <v>323</v>
      </c>
      <c r="K57" s="153" t="s">
        <v>329</v>
      </c>
      <c r="L57" s="44"/>
      <c r="N57" s="199"/>
    </row>
    <row r="58" spans="1:14" ht="15" hidden="1" customHeight="1">
      <c r="A58" s="2" t="s">
        <v>9</v>
      </c>
      <c r="B58" s="2" t="s">
        <v>331</v>
      </c>
      <c r="C58" s="2" t="s">
        <v>537</v>
      </c>
      <c r="D58" s="14" t="s">
        <v>524</v>
      </c>
      <c r="E58" s="14"/>
      <c r="G58" s="136"/>
      <c r="H58" s="136"/>
      <c r="I58" s="137"/>
      <c r="J58" s="5" t="s">
        <v>323</v>
      </c>
      <c r="K58" s="153" t="s">
        <v>329</v>
      </c>
      <c r="L58" s="44"/>
      <c r="N58" s="199"/>
    </row>
    <row r="59" spans="1:14" ht="15" hidden="1" customHeight="1">
      <c r="A59" s="2" t="s">
        <v>9</v>
      </c>
      <c r="B59" s="2" t="s">
        <v>331</v>
      </c>
      <c r="C59" s="2" t="s">
        <v>538</v>
      </c>
      <c r="D59" s="14" t="s">
        <v>539</v>
      </c>
      <c r="E59" s="14"/>
      <c r="G59" s="136"/>
      <c r="H59" s="136"/>
      <c r="I59" s="137"/>
      <c r="J59" s="5" t="s">
        <v>323</v>
      </c>
      <c r="K59" s="153" t="s">
        <v>329</v>
      </c>
      <c r="L59" s="45"/>
      <c r="N59" s="200"/>
    </row>
    <row r="60" spans="1:14" ht="15" hidden="1" customHeight="1">
      <c r="A60" s="2" t="s">
        <v>9</v>
      </c>
      <c r="B60" s="2" t="s">
        <v>331</v>
      </c>
      <c r="C60" s="2" t="s">
        <v>540</v>
      </c>
      <c r="D60" s="2" t="s">
        <v>34</v>
      </c>
      <c r="E60" s="2"/>
      <c r="G60" s="134"/>
      <c r="H60" s="134">
        <v>2580</v>
      </c>
      <c r="I60" s="133"/>
      <c r="J60" s="5" t="s">
        <v>323</v>
      </c>
      <c r="K60" s="131" t="s">
        <v>328</v>
      </c>
      <c r="L60" s="5"/>
      <c r="M60" s="5" t="s">
        <v>478</v>
      </c>
      <c r="N60" s="3" t="s">
        <v>541</v>
      </c>
    </row>
    <row r="61" spans="1:14" ht="15" hidden="1" customHeight="1">
      <c r="A61" s="2" t="s">
        <v>9</v>
      </c>
      <c r="B61" s="2" t="s">
        <v>331</v>
      </c>
      <c r="C61" s="2" t="s">
        <v>542</v>
      </c>
      <c r="D61" s="2" t="s">
        <v>35</v>
      </c>
      <c r="E61" s="2"/>
      <c r="G61" s="134"/>
      <c r="H61" s="134">
        <v>1646</v>
      </c>
      <c r="I61" s="133"/>
      <c r="J61" s="5" t="s">
        <v>323</v>
      </c>
      <c r="K61" s="131" t="s">
        <v>328</v>
      </c>
      <c r="L61" s="5"/>
      <c r="M61" s="5" t="s">
        <v>490</v>
      </c>
      <c r="N61" s="3" t="s">
        <v>543</v>
      </c>
    </row>
    <row r="62" spans="1:14" ht="15" hidden="1" customHeight="1">
      <c r="A62" s="2" t="s">
        <v>9</v>
      </c>
      <c r="B62" s="2" t="s">
        <v>331</v>
      </c>
      <c r="C62" s="2" t="s">
        <v>544</v>
      </c>
      <c r="D62" s="2" t="s">
        <v>545</v>
      </c>
      <c r="E62" s="2"/>
      <c r="G62" s="134"/>
      <c r="H62" s="134">
        <v>9662</v>
      </c>
      <c r="I62" s="133"/>
      <c r="J62" s="5" t="s">
        <v>323</v>
      </c>
      <c r="K62" s="131" t="s">
        <v>328</v>
      </c>
      <c r="L62" s="5"/>
      <c r="M62" s="5" t="s">
        <v>546</v>
      </c>
      <c r="N62" s="3"/>
    </row>
    <row r="63" spans="1:14" ht="15" hidden="1" customHeight="1">
      <c r="A63" s="2" t="s">
        <v>9</v>
      </c>
      <c r="B63" s="2" t="s">
        <v>331</v>
      </c>
      <c r="C63" s="2" t="s">
        <v>547</v>
      </c>
      <c r="D63" s="2" t="s">
        <v>548</v>
      </c>
      <c r="E63" s="2"/>
      <c r="G63" s="134"/>
      <c r="H63" s="134">
        <v>4345</v>
      </c>
      <c r="I63" s="133"/>
      <c r="J63" s="5" t="s">
        <v>323</v>
      </c>
      <c r="K63" s="131" t="s">
        <v>328</v>
      </c>
      <c r="L63" s="5"/>
      <c r="M63" s="5" t="s">
        <v>546</v>
      </c>
      <c r="N63" s="13" t="s">
        <v>549</v>
      </c>
    </row>
    <row r="64" spans="1:14" ht="15" hidden="1" customHeight="1">
      <c r="A64" s="2" t="s">
        <v>9</v>
      </c>
      <c r="B64" s="2" t="s">
        <v>331</v>
      </c>
      <c r="C64" s="2" t="s">
        <v>550</v>
      </c>
      <c r="D64" s="2" t="s">
        <v>36</v>
      </c>
      <c r="E64" s="2"/>
      <c r="G64" s="134"/>
      <c r="H64" s="134">
        <v>1088</v>
      </c>
      <c r="I64" s="133"/>
      <c r="J64" s="5" t="s">
        <v>323</v>
      </c>
      <c r="K64" s="131" t="s">
        <v>328</v>
      </c>
      <c r="L64" s="5"/>
      <c r="M64" s="5" t="s">
        <v>551</v>
      </c>
      <c r="N64" s="13" t="s">
        <v>552</v>
      </c>
    </row>
    <row r="65" spans="1:15" ht="15" hidden="1" customHeight="1">
      <c r="A65" s="2" t="s">
        <v>9</v>
      </c>
      <c r="B65" s="2" t="s">
        <v>331</v>
      </c>
      <c r="C65" s="2" t="s">
        <v>553</v>
      </c>
      <c r="D65" s="2" t="s">
        <v>554</v>
      </c>
      <c r="E65" s="2"/>
      <c r="G65" s="134"/>
      <c r="H65" s="134">
        <v>107</v>
      </c>
      <c r="I65" s="133"/>
      <c r="J65" s="5" t="s">
        <v>323</v>
      </c>
      <c r="K65" s="131" t="s">
        <v>328</v>
      </c>
      <c r="L65" s="5"/>
      <c r="M65" s="5" t="s">
        <v>478</v>
      </c>
      <c r="N65" s="3"/>
    </row>
    <row r="66" spans="1:15" ht="15" hidden="1" customHeight="1">
      <c r="A66" s="2" t="s">
        <v>9</v>
      </c>
      <c r="B66" s="2" t="s">
        <v>331</v>
      </c>
      <c r="C66" s="2" t="s">
        <v>555</v>
      </c>
      <c r="D66" s="2" t="s">
        <v>556</v>
      </c>
      <c r="E66" s="2"/>
      <c r="G66" s="134"/>
      <c r="H66" s="134">
        <v>1088</v>
      </c>
      <c r="I66" s="133"/>
      <c r="J66" s="5" t="s">
        <v>323</v>
      </c>
      <c r="K66" s="131" t="s">
        <v>328</v>
      </c>
      <c r="L66" s="5"/>
      <c r="M66" s="5" t="s">
        <v>551</v>
      </c>
      <c r="N66" s="3" t="s">
        <v>557</v>
      </c>
    </row>
    <row r="67" spans="1:15" ht="15" hidden="1" customHeight="1">
      <c r="A67" s="2" t="s">
        <v>9</v>
      </c>
      <c r="B67" s="2" t="s">
        <v>331</v>
      </c>
      <c r="C67" s="2" t="s">
        <v>558</v>
      </c>
      <c r="D67" s="2" t="s">
        <v>559</v>
      </c>
      <c r="E67" s="2"/>
      <c r="G67" s="134"/>
      <c r="H67" s="134">
        <v>3918</v>
      </c>
      <c r="I67" s="133"/>
      <c r="J67" s="5" t="s">
        <v>323</v>
      </c>
      <c r="K67" s="131" t="s">
        <v>328</v>
      </c>
      <c r="L67" s="5"/>
      <c r="M67" s="5" t="s">
        <v>478</v>
      </c>
      <c r="N67" s="3"/>
    </row>
    <row r="68" spans="1:15" ht="15" hidden="1" customHeight="1">
      <c r="A68" s="2" t="s">
        <v>9</v>
      </c>
      <c r="B68" s="2" t="s">
        <v>331</v>
      </c>
      <c r="C68" s="2" t="s">
        <v>560</v>
      </c>
      <c r="D68" s="2" t="s">
        <v>56</v>
      </c>
      <c r="E68" s="2"/>
      <c r="G68" s="134"/>
      <c r="H68" s="134">
        <f>3863 + 61</f>
        <v>3924</v>
      </c>
      <c r="I68" s="133"/>
      <c r="J68" s="5" t="s">
        <v>323</v>
      </c>
      <c r="K68" s="131" t="s">
        <v>328</v>
      </c>
      <c r="L68" s="5"/>
      <c r="M68" s="5" t="s">
        <v>478</v>
      </c>
      <c r="N68" s="3"/>
    </row>
    <row r="69" spans="1:15" ht="15" hidden="1" customHeight="1">
      <c r="A69" s="2" t="s">
        <v>9</v>
      </c>
      <c r="B69" s="2" t="s">
        <v>331</v>
      </c>
      <c r="C69" s="2" t="s">
        <v>561</v>
      </c>
      <c r="D69" s="2" t="s">
        <v>562</v>
      </c>
      <c r="E69" s="2"/>
      <c r="G69" s="134"/>
      <c r="H69" s="134">
        <v>3924</v>
      </c>
      <c r="I69" s="133"/>
      <c r="J69" s="5" t="s">
        <v>323</v>
      </c>
      <c r="K69" s="131" t="s">
        <v>328</v>
      </c>
      <c r="L69" s="5"/>
      <c r="M69" s="5" t="s">
        <v>563</v>
      </c>
      <c r="N69" s="3"/>
    </row>
    <row r="70" spans="1:15" ht="25.5" hidden="1" customHeight="1">
      <c r="A70" s="2" t="s">
        <v>9</v>
      </c>
      <c r="B70" s="2" t="s">
        <v>331</v>
      </c>
      <c r="C70" s="2" t="s">
        <v>564</v>
      </c>
      <c r="D70" s="2" t="s">
        <v>565</v>
      </c>
      <c r="E70" s="2"/>
      <c r="G70" s="134"/>
      <c r="H70" s="134">
        <v>253</v>
      </c>
      <c r="I70" s="133"/>
      <c r="J70" s="5" t="s">
        <v>323</v>
      </c>
      <c r="K70" s="131" t="s">
        <v>328</v>
      </c>
      <c r="L70" s="5"/>
      <c r="M70" s="5" t="s">
        <v>566</v>
      </c>
      <c r="N70" s="3" t="s">
        <v>567</v>
      </c>
    </row>
    <row r="71" spans="1:15" ht="15" hidden="1" customHeight="1">
      <c r="A71" s="2" t="s">
        <v>9</v>
      </c>
      <c r="B71" s="2" t="s">
        <v>331</v>
      </c>
      <c r="C71" s="2" t="s">
        <v>568</v>
      </c>
      <c r="D71" s="2" t="s">
        <v>59</v>
      </c>
      <c r="E71" s="2"/>
      <c r="G71" s="134"/>
      <c r="H71" s="134">
        <v>28</v>
      </c>
      <c r="I71" s="133"/>
      <c r="J71" s="5" t="s">
        <v>323</v>
      </c>
      <c r="K71" s="131" t="s">
        <v>328</v>
      </c>
      <c r="L71" s="5"/>
      <c r="M71" s="5" t="s">
        <v>478</v>
      </c>
      <c r="N71" s="3"/>
    </row>
    <row r="72" spans="1:15" ht="15" hidden="1" customHeight="1">
      <c r="A72" s="2" t="s">
        <v>9</v>
      </c>
      <c r="B72" s="2" t="s">
        <v>332</v>
      </c>
      <c r="C72" s="2" t="s">
        <v>569</v>
      </c>
      <c r="D72" s="2" t="s">
        <v>570</v>
      </c>
      <c r="E72" s="2"/>
      <c r="G72" s="134"/>
      <c r="H72" s="134"/>
      <c r="I72" s="133"/>
      <c r="J72" s="5" t="s">
        <v>323</v>
      </c>
      <c r="K72" s="153" t="s">
        <v>330</v>
      </c>
      <c r="L72" s="46"/>
      <c r="M72" s="5" t="s">
        <v>571</v>
      </c>
      <c r="N72" s="3"/>
    </row>
    <row r="73" spans="1:15" ht="15" hidden="1" customHeight="1">
      <c r="A73" s="2" t="s">
        <v>9</v>
      </c>
      <c r="B73" s="2" t="s">
        <v>332</v>
      </c>
      <c r="C73" s="2" t="s">
        <v>572</v>
      </c>
      <c r="D73" s="2" t="s">
        <v>573</v>
      </c>
      <c r="E73" s="2"/>
      <c r="G73" s="134"/>
      <c r="H73" s="134">
        <v>2132</v>
      </c>
      <c r="I73" s="133"/>
      <c r="J73" s="5" t="s">
        <v>323</v>
      </c>
      <c r="K73" s="131" t="s">
        <v>328</v>
      </c>
      <c r="L73" s="46"/>
      <c r="M73" s="5" t="s">
        <v>478</v>
      </c>
      <c r="N73" s="3" t="s">
        <v>574</v>
      </c>
    </row>
    <row r="74" spans="1:15" ht="15" hidden="1" customHeight="1">
      <c r="A74" s="2" t="s">
        <v>9</v>
      </c>
      <c r="B74" s="2" t="s">
        <v>332</v>
      </c>
      <c r="C74" s="2" t="s">
        <v>575</v>
      </c>
      <c r="D74" s="2" t="s">
        <v>576</v>
      </c>
      <c r="E74" s="2"/>
      <c r="G74" s="134"/>
      <c r="H74" s="134">
        <v>2132</v>
      </c>
      <c r="I74" s="133"/>
      <c r="J74" s="5" t="s">
        <v>323</v>
      </c>
      <c r="K74" s="131" t="s">
        <v>328</v>
      </c>
      <c r="L74" s="46"/>
      <c r="M74" s="5" t="s">
        <v>478</v>
      </c>
      <c r="N74" s="3"/>
    </row>
    <row r="75" spans="1:15" ht="15" hidden="1" customHeight="1">
      <c r="A75" s="2" t="s">
        <v>9</v>
      </c>
      <c r="B75" s="2" t="s">
        <v>332</v>
      </c>
      <c r="C75" s="2" t="s">
        <v>577</v>
      </c>
      <c r="D75" s="2" t="s">
        <v>578</v>
      </c>
      <c r="E75" s="2"/>
      <c r="G75" s="134"/>
      <c r="H75" s="134">
        <v>176</v>
      </c>
      <c r="I75" s="133"/>
      <c r="J75" s="5" t="s">
        <v>323</v>
      </c>
      <c r="K75" s="153" t="s">
        <v>328</v>
      </c>
      <c r="L75" s="46"/>
      <c r="M75" s="5" t="s">
        <v>579</v>
      </c>
      <c r="N75" s="3"/>
    </row>
    <row r="76" spans="1:15" ht="38.25" hidden="1" customHeight="1">
      <c r="A76" s="2" t="s">
        <v>9</v>
      </c>
      <c r="B76" s="2" t="s">
        <v>332</v>
      </c>
      <c r="C76" s="2" t="s">
        <v>580</v>
      </c>
      <c r="D76" s="2" t="s">
        <v>581</v>
      </c>
      <c r="E76" s="2"/>
      <c r="F76" s="129">
        <v>1</v>
      </c>
      <c r="G76" s="201" t="s">
        <v>582</v>
      </c>
      <c r="H76" s="134">
        <v>15204</v>
      </c>
      <c r="I76" s="204">
        <f>(15552-(15204+410-34))/15552</f>
        <v>-1.8004115226337449E-3</v>
      </c>
      <c r="J76" s="5" t="s">
        <v>321</v>
      </c>
      <c r="K76" s="131" t="s">
        <v>328</v>
      </c>
      <c r="L76" s="16"/>
      <c r="M76" s="5" t="s">
        <v>478</v>
      </c>
      <c r="N76" s="3" t="s">
        <v>583</v>
      </c>
      <c r="O76" s="11" t="s">
        <v>376</v>
      </c>
    </row>
    <row r="77" spans="1:15" ht="38.25" hidden="1" customHeight="1">
      <c r="A77" s="2" t="s">
        <v>9</v>
      </c>
      <c r="B77" s="2" t="s">
        <v>332</v>
      </c>
      <c r="C77" s="2" t="s">
        <v>584</v>
      </c>
      <c r="D77" s="2" t="s">
        <v>585</v>
      </c>
      <c r="E77" s="2"/>
      <c r="F77" s="129">
        <v>1</v>
      </c>
      <c r="G77" s="201"/>
      <c r="H77" s="134">
        <v>410</v>
      </c>
      <c r="I77" s="204"/>
      <c r="J77" s="5" t="s">
        <v>321</v>
      </c>
      <c r="K77" s="131" t="s">
        <v>328</v>
      </c>
      <c r="L77" s="17"/>
      <c r="M77" s="5" t="s">
        <v>478</v>
      </c>
      <c r="N77" s="3" t="s">
        <v>583</v>
      </c>
      <c r="O77" s="11" t="s">
        <v>376</v>
      </c>
    </row>
    <row r="78" spans="1:15" ht="15" hidden="1" customHeight="1">
      <c r="A78" s="2" t="s">
        <v>9</v>
      </c>
      <c r="B78" s="2" t="s">
        <v>332</v>
      </c>
      <c r="C78" s="2" t="s">
        <v>586</v>
      </c>
      <c r="D78" s="2" t="s">
        <v>587</v>
      </c>
      <c r="E78" s="2"/>
      <c r="G78" s="134"/>
      <c r="H78" s="134"/>
      <c r="I78" s="135"/>
      <c r="J78" s="5" t="s">
        <v>323</v>
      </c>
      <c r="K78" s="154" t="s">
        <v>330</v>
      </c>
      <c r="L78" s="17"/>
      <c r="M78" s="5" t="s">
        <v>571</v>
      </c>
      <c r="N78" s="3"/>
    </row>
    <row r="79" spans="1:15" ht="25.5" hidden="1" customHeight="1">
      <c r="A79" s="2" t="s">
        <v>9</v>
      </c>
      <c r="B79" s="2" t="s">
        <v>332</v>
      </c>
      <c r="C79" s="2" t="s">
        <v>588</v>
      </c>
      <c r="D79" s="2" t="s">
        <v>589</v>
      </c>
      <c r="E79" s="2"/>
      <c r="G79" s="134"/>
      <c r="H79" s="134">
        <v>6367</v>
      </c>
      <c r="I79" s="135"/>
      <c r="J79" s="5" t="s">
        <v>323</v>
      </c>
      <c r="K79" s="156" t="s">
        <v>328</v>
      </c>
      <c r="L79" s="17"/>
      <c r="M79" s="5" t="s">
        <v>590</v>
      </c>
      <c r="N79" s="3"/>
    </row>
    <row r="80" spans="1:15" ht="15" hidden="1" customHeight="1">
      <c r="A80" s="2" t="s">
        <v>9</v>
      </c>
      <c r="B80" s="2" t="s">
        <v>332</v>
      </c>
      <c r="C80" s="2" t="s">
        <v>591</v>
      </c>
      <c r="D80" s="2" t="s">
        <v>592</v>
      </c>
      <c r="E80" s="2"/>
      <c r="G80" s="134"/>
      <c r="H80" s="134">
        <v>12493</v>
      </c>
      <c r="I80" s="133"/>
      <c r="J80" s="5" t="s">
        <v>323</v>
      </c>
      <c r="K80" s="130" t="s">
        <v>328</v>
      </c>
      <c r="L80" s="5"/>
      <c r="M80" s="5" t="s">
        <v>546</v>
      </c>
      <c r="N80" s="3"/>
    </row>
    <row r="81" spans="1:16" ht="15" hidden="1" customHeight="1">
      <c r="A81" s="2" t="s">
        <v>9</v>
      </c>
      <c r="B81" s="2" t="s">
        <v>332</v>
      </c>
      <c r="C81" s="2" t="s">
        <v>593</v>
      </c>
      <c r="D81" s="2" t="s">
        <v>594</v>
      </c>
      <c r="E81" s="2"/>
      <c r="G81" s="134"/>
      <c r="H81" s="134"/>
      <c r="I81" s="133"/>
      <c r="J81" s="5" t="s">
        <v>323</v>
      </c>
      <c r="K81" s="130" t="s">
        <v>329</v>
      </c>
      <c r="L81" s="5"/>
      <c r="M81" s="5" t="s">
        <v>595</v>
      </c>
      <c r="N81" s="3" t="s">
        <v>596</v>
      </c>
    </row>
    <row r="82" spans="1:16" ht="25.5" hidden="1" customHeight="1">
      <c r="A82" s="2" t="s">
        <v>9</v>
      </c>
      <c r="B82" s="2" t="s">
        <v>332</v>
      </c>
      <c r="C82" s="2" t="s">
        <v>597</v>
      </c>
      <c r="D82" s="2" t="s">
        <v>598</v>
      </c>
      <c r="E82" s="2"/>
      <c r="G82" s="134"/>
      <c r="H82" s="134"/>
      <c r="I82" s="133"/>
      <c r="J82" s="5" t="s">
        <v>323</v>
      </c>
      <c r="K82" s="130" t="s">
        <v>329</v>
      </c>
      <c r="L82" s="5"/>
      <c r="M82" s="5" t="s">
        <v>595</v>
      </c>
      <c r="N82" s="3"/>
    </row>
    <row r="83" spans="1:16" ht="25.5" hidden="1" customHeight="1">
      <c r="A83" s="2" t="s">
        <v>9</v>
      </c>
      <c r="B83" s="2" t="s">
        <v>332</v>
      </c>
      <c r="C83" s="2" t="s">
        <v>599</v>
      </c>
      <c r="D83" s="2" t="s">
        <v>600</v>
      </c>
      <c r="E83" s="2"/>
      <c r="G83" s="134"/>
      <c r="H83" s="134">
        <v>504</v>
      </c>
      <c r="I83" s="133"/>
      <c r="J83" s="5" t="s">
        <v>323</v>
      </c>
      <c r="K83" s="130" t="s">
        <v>328</v>
      </c>
      <c r="L83" s="5"/>
      <c r="M83" s="5" t="s">
        <v>546</v>
      </c>
      <c r="N83" s="3" t="s">
        <v>601</v>
      </c>
    </row>
    <row r="84" spans="1:16" ht="15" hidden="1" customHeight="1">
      <c r="A84" s="2" t="s">
        <v>9</v>
      </c>
      <c r="B84" s="2" t="s">
        <v>332</v>
      </c>
      <c r="C84" s="2" t="s">
        <v>602</v>
      </c>
      <c r="D84" s="2" t="s">
        <v>73</v>
      </c>
      <c r="E84" s="2" t="s">
        <v>603</v>
      </c>
      <c r="F84" s="129">
        <v>1</v>
      </c>
      <c r="G84" s="134">
        <v>11788</v>
      </c>
      <c r="H84" s="134">
        <v>11765</v>
      </c>
      <c r="I84" s="135">
        <f>1-H84/G84</f>
        <v>1.9511367492365261E-3</v>
      </c>
      <c r="J84" s="5" t="s">
        <v>321</v>
      </c>
      <c r="K84" s="131" t="s">
        <v>328</v>
      </c>
      <c r="L84" s="7"/>
      <c r="M84" s="5" t="s">
        <v>604</v>
      </c>
      <c r="N84" s="3"/>
      <c r="O84" s="11" t="s">
        <v>376</v>
      </c>
      <c r="P84" s="11">
        <v>2471</v>
      </c>
    </row>
    <row r="85" spans="1:16" ht="15" hidden="1" customHeight="1">
      <c r="A85" s="2" t="s">
        <v>9</v>
      </c>
      <c r="B85" s="2" t="s">
        <v>332</v>
      </c>
      <c r="C85" s="2" t="s">
        <v>605</v>
      </c>
      <c r="D85" s="2" t="s">
        <v>606</v>
      </c>
      <c r="E85" s="2"/>
      <c r="F85" s="129">
        <v>1</v>
      </c>
      <c r="G85" s="134">
        <v>1832</v>
      </c>
      <c r="H85" s="134">
        <v>1888</v>
      </c>
      <c r="I85" s="135">
        <f>1-H85/G85</f>
        <v>-3.0567685589519611E-2</v>
      </c>
      <c r="J85" s="5" t="s">
        <v>322</v>
      </c>
      <c r="K85" s="131" t="s">
        <v>328</v>
      </c>
      <c r="L85" s="7"/>
      <c r="M85" s="5" t="s">
        <v>604</v>
      </c>
      <c r="N85" s="3" t="s">
        <v>607</v>
      </c>
      <c r="O85" s="11" t="s">
        <v>376</v>
      </c>
    </row>
    <row r="86" spans="1:16" ht="15" hidden="1" customHeight="1">
      <c r="A86" s="2" t="s">
        <v>9</v>
      </c>
      <c r="B86" s="2" t="s">
        <v>332</v>
      </c>
      <c r="C86" s="2" t="s">
        <v>608</v>
      </c>
      <c r="D86" s="2" t="s">
        <v>609</v>
      </c>
      <c r="E86" s="2"/>
      <c r="G86" s="134"/>
      <c r="H86" s="134"/>
      <c r="I86" s="133"/>
      <c r="J86" s="5" t="s">
        <v>323</v>
      </c>
      <c r="K86" s="130" t="s">
        <v>330</v>
      </c>
      <c r="L86" s="5"/>
      <c r="N86" s="3" t="s">
        <v>610</v>
      </c>
    </row>
    <row r="87" spans="1:16" ht="15" hidden="1" customHeight="1">
      <c r="A87" s="2" t="s">
        <v>9</v>
      </c>
      <c r="B87" s="2" t="s">
        <v>332</v>
      </c>
      <c r="C87" s="2" t="s">
        <v>611</v>
      </c>
      <c r="D87" s="2" t="s">
        <v>612</v>
      </c>
      <c r="E87" s="2"/>
      <c r="G87" s="134"/>
      <c r="H87" s="134"/>
      <c r="I87" s="133"/>
      <c r="J87" s="5" t="s">
        <v>323</v>
      </c>
      <c r="K87" s="130" t="s">
        <v>330</v>
      </c>
      <c r="L87" s="5"/>
      <c r="N87" s="3" t="s">
        <v>610</v>
      </c>
    </row>
    <row r="88" spans="1:16" ht="15" hidden="1" customHeight="1">
      <c r="A88" s="2" t="s">
        <v>9</v>
      </c>
      <c r="B88" s="2" t="s">
        <v>332</v>
      </c>
      <c r="C88" s="2" t="s">
        <v>613</v>
      </c>
      <c r="D88" s="2" t="s">
        <v>614</v>
      </c>
      <c r="E88" s="2"/>
      <c r="G88" s="134"/>
      <c r="H88" s="134">
        <v>1616</v>
      </c>
      <c r="I88" s="133"/>
      <c r="J88" s="5" t="s">
        <v>323</v>
      </c>
      <c r="K88" s="130" t="s">
        <v>328</v>
      </c>
      <c r="L88" s="5"/>
      <c r="M88" s="5" t="s">
        <v>374</v>
      </c>
      <c r="N88" s="3" t="s">
        <v>615</v>
      </c>
    </row>
    <row r="89" spans="1:16" ht="25.5" hidden="1" customHeight="1">
      <c r="A89" s="2" t="s">
        <v>9</v>
      </c>
      <c r="B89" s="2" t="s">
        <v>332</v>
      </c>
      <c r="C89" s="2" t="s">
        <v>616</v>
      </c>
      <c r="D89" s="2" t="s">
        <v>617</v>
      </c>
      <c r="E89" s="2"/>
      <c r="G89" s="134"/>
      <c r="H89" s="134">
        <v>1276</v>
      </c>
      <c r="I89" s="133"/>
      <c r="J89" s="5" t="s">
        <v>323</v>
      </c>
      <c r="K89" s="130" t="s">
        <v>328</v>
      </c>
      <c r="L89" s="5"/>
      <c r="M89" s="5" t="s">
        <v>374</v>
      </c>
      <c r="N89" s="3" t="s">
        <v>618</v>
      </c>
    </row>
    <row r="90" spans="1:16" ht="38.25" hidden="1" customHeight="1">
      <c r="A90" s="2" t="s">
        <v>9</v>
      </c>
      <c r="B90" s="2" t="s">
        <v>332</v>
      </c>
      <c r="C90" s="2" t="s">
        <v>619</v>
      </c>
      <c r="D90" s="2" t="s">
        <v>620</v>
      </c>
      <c r="E90" s="2"/>
      <c r="G90" s="134"/>
      <c r="H90" s="134">
        <v>4536</v>
      </c>
      <c r="I90" s="133"/>
      <c r="J90" s="5" t="s">
        <v>323</v>
      </c>
      <c r="K90" s="130" t="s">
        <v>328</v>
      </c>
      <c r="L90" s="5"/>
      <c r="M90" s="5" t="s">
        <v>621</v>
      </c>
      <c r="N90" s="3"/>
    </row>
    <row r="91" spans="1:16" ht="25.5" hidden="1" customHeight="1">
      <c r="A91" s="2" t="s">
        <v>9</v>
      </c>
      <c r="B91" s="2" t="s">
        <v>332</v>
      </c>
      <c r="C91" s="2" t="s">
        <v>622</v>
      </c>
      <c r="D91" s="2" t="s">
        <v>623</v>
      </c>
      <c r="E91" s="2"/>
      <c r="G91" s="134"/>
      <c r="H91" s="134"/>
      <c r="I91" s="133"/>
      <c r="J91" s="5" t="s">
        <v>323</v>
      </c>
      <c r="K91" s="130" t="s">
        <v>330</v>
      </c>
      <c r="L91" s="5"/>
      <c r="N91" s="3" t="s">
        <v>610</v>
      </c>
    </row>
    <row r="92" spans="1:16" ht="51" hidden="1" customHeight="1">
      <c r="A92" s="2" t="s">
        <v>9</v>
      </c>
      <c r="B92" s="2" t="s">
        <v>332</v>
      </c>
      <c r="C92" s="2" t="s">
        <v>624</v>
      </c>
      <c r="D92" s="2" t="s">
        <v>625</v>
      </c>
      <c r="E92" s="2" t="s">
        <v>626</v>
      </c>
      <c r="F92" s="129">
        <v>1</v>
      </c>
      <c r="G92" s="134">
        <v>7971</v>
      </c>
      <c r="H92" s="134">
        <v>7995</v>
      </c>
      <c r="I92" s="135">
        <f>1-H92/G92</f>
        <v>-3.0109145652992275E-3</v>
      </c>
      <c r="J92" s="5" t="s">
        <v>321</v>
      </c>
      <c r="K92" s="131" t="s">
        <v>328</v>
      </c>
      <c r="L92" s="7"/>
      <c r="M92" s="5" t="s">
        <v>627</v>
      </c>
      <c r="N92" s="3" t="s">
        <v>628</v>
      </c>
      <c r="O92" s="11" t="s">
        <v>376</v>
      </c>
      <c r="P92" s="11">
        <v>152</v>
      </c>
    </row>
    <row r="93" spans="1:16" ht="25.5" hidden="1" customHeight="1">
      <c r="A93" s="2" t="s">
        <v>9</v>
      </c>
      <c r="B93" s="2" t="s">
        <v>332</v>
      </c>
      <c r="C93" s="2" t="s">
        <v>629</v>
      </c>
      <c r="D93" s="2" t="s">
        <v>630</v>
      </c>
      <c r="E93" s="194"/>
      <c r="F93" s="129">
        <v>1</v>
      </c>
      <c r="G93" s="201">
        <v>3959</v>
      </c>
      <c r="H93" s="201">
        <v>3943</v>
      </c>
      <c r="I93" s="204">
        <v>3.7636432066234793E-4</v>
      </c>
      <c r="J93" s="5" t="s">
        <v>321</v>
      </c>
      <c r="K93" s="155" t="s">
        <v>328</v>
      </c>
      <c r="L93" s="16"/>
      <c r="M93" s="205" t="s">
        <v>631</v>
      </c>
      <c r="N93" s="38" t="s">
        <v>632</v>
      </c>
      <c r="O93" s="11" t="s">
        <v>633</v>
      </c>
    </row>
    <row r="94" spans="1:16" ht="15" customHeight="1">
      <c r="A94" s="2" t="s">
        <v>9</v>
      </c>
      <c r="B94" s="2" t="s">
        <v>332</v>
      </c>
      <c r="C94" s="2" t="s">
        <v>634</v>
      </c>
      <c r="D94" s="2" t="s">
        <v>635</v>
      </c>
      <c r="E94" s="195"/>
      <c r="F94" s="129">
        <v>1</v>
      </c>
      <c r="G94" s="201"/>
      <c r="H94" s="201"/>
      <c r="I94" s="204"/>
      <c r="K94" s="156" t="s">
        <v>328</v>
      </c>
      <c r="L94" s="17"/>
      <c r="M94" s="206"/>
      <c r="N94" s="18" t="s">
        <v>636</v>
      </c>
      <c r="O94" s="11" t="s">
        <v>376</v>
      </c>
    </row>
    <row r="95" spans="1:16" ht="15" hidden="1" customHeight="1">
      <c r="A95" s="2" t="s">
        <v>9</v>
      </c>
      <c r="B95" s="2" t="s">
        <v>332</v>
      </c>
      <c r="C95" s="2" t="s">
        <v>637</v>
      </c>
      <c r="D95" s="2" t="s">
        <v>638</v>
      </c>
      <c r="E95" s="22"/>
      <c r="G95" s="134"/>
      <c r="H95" s="134"/>
      <c r="I95" s="135"/>
      <c r="J95" s="5" t="s">
        <v>323</v>
      </c>
      <c r="K95" s="154" t="s">
        <v>330</v>
      </c>
      <c r="L95" s="17"/>
      <c r="N95" s="18" t="s">
        <v>639</v>
      </c>
    </row>
    <row r="96" spans="1:16" ht="25.5" hidden="1" customHeight="1">
      <c r="A96" s="2" t="s">
        <v>9</v>
      </c>
      <c r="B96" s="2" t="s">
        <v>332</v>
      </c>
      <c r="C96" s="40" t="s">
        <v>640</v>
      </c>
      <c r="D96" s="2" t="s">
        <v>437</v>
      </c>
      <c r="E96" s="22"/>
      <c r="G96" s="134">
        <v>24</v>
      </c>
      <c r="H96" s="134">
        <v>22</v>
      </c>
      <c r="I96" s="135">
        <f>1-H96/G96</f>
        <v>8.333333333333337E-2</v>
      </c>
      <c r="J96" s="5" t="s">
        <v>322</v>
      </c>
      <c r="K96" s="156" t="s">
        <v>328</v>
      </c>
      <c r="L96" s="17"/>
      <c r="M96" s="5" t="s">
        <v>641</v>
      </c>
      <c r="N96" s="18" t="s">
        <v>642</v>
      </c>
    </row>
    <row r="97" spans="1:15" ht="15" hidden="1" customHeight="1">
      <c r="A97" s="2" t="s">
        <v>9</v>
      </c>
      <c r="B97" s="2" t="s">
        <v>332</v>
      </c>
      <c r="C97" s="2" t="s">
        <v>643</v>
      </c>
      <c r="D97" s="2" t="s">
        <v>394</v>
      </c>
      <c r="E97" s="2"/>
      <c r="G97" s="134"/>
      <c r="H97" s="134">
        <v>969</v>
      </c>
      <c r="I97" s="133"/>
      <c r="J97" s="5" t="s">
        <v>323</v>
      </c>
      <c r="K97" s="130" t="s">
        <v>328</v>
      </c>
      <c r="L97" s="5"/>
      <c r="M97" s="5" t="s">
        <v>385</v>
      </c>
      <c r="N97" s="3" t="s">
        <v>644</v>
      </c>
    </row>
    <row r="98" spans="1:15" ht="15" hidden="1" customHeight="1">
      <c r="A98" s="2" t="s">
        <v>9</v>
      </c>
      <c r="B98" s="2" t="s">
        <v>332</v>
      </c>
      <c r="C98" s="2" t="s">
        <v>645</v>
      </c>
      <c r="D98" s="2" t="s">
        <v>646</v>
      </c>
      <c r="E98" s="2"/>
      <c r="G98" s="134"/>
      <c r="H98" s="134"/>
      <c r="I98" s="133"/>
      <c r="K98" s="130" t="s">
        <v>330</v>
      </c>
      <c r="L98" s="5"/>
      <c r="N98" s="3" t="s">
        <v>647</v>
      </c>
    </row>
    <row r="99" spans="1:15" ht="15" hidden="1" customHeight="1">
      <c r="A99" s="2" t="s">
        <v>9</v>
      </c>
      <c r="B99" s="2" t="s">
        <v>332</v>
      </c>
      <c r="C99" s="2" t="s">
        <v>648</v>
      </c>
      <c r="D99" s="2" t="s">
        <v>649</v>
      </c>
      <c r="E99" s="2"/>
      <c r="G99" s="134"/>
      <c r="H99" s="134">
        <v>1729</v>
      </c>
      <c r="I99" s="133"/>
      <c r="J99" s="5" t="s">
        <v>323</v>
      </c>
      <c r="K99" s="130" t="s">
        <v>328</v>
      </c>
      <c r="L99" s="5"/>
      <c r="M99" s="5" t="s">
        <v>546</v>
      </c>
      <c r="N99" s="3" t="s">
        <v>650</v>
      </c>
    </row>
    <row r="100" spans="1:15" ht="15" hidden="1" customHeight="1">
      <c r="A100" s="2" t="s">
        <v>9</v>
      </c>
      <c r="B100" s="2" t="s">
        <v>332</v>
      </c>
      <c r="C100" s="2" t="s">
        <v>651</v>
      </c>
      <c r="D100" s="2" t="s">
        <v>652</v>
      </c>
      <c r="E100" s="2"/>
      <c r="G100" s="134"/>
      <c r="H100" s="136"/>
      <c r="I100" s="133"/>
      <c r="J100" s="5" t="s">
        <v>323</v>
      </c>
      <c r="K100" s="130" t="s">
        <v>398</v>
      </c>
      <c r="L100" s="5"/>
      <c r="M100" s="5" t="s">
        <v>653</v>
      </c>
      <c r="N100" s="3" t="s">
        <v>654</v>
      </c>
    </row>
    <row r="101" spans="1:15" ht="25.5" hidden="1" customHeight="1">
      <c r="A101" s="2" t="s">
        <v>9</v>
      </c>
      <c r="B101" s="2" t="s">
        <v>332</v>
      </c>
      <c r="C101" s="2" t="s">
        <v>655</v>
      </c>
      <c r="D101" s="2" t="s">
        <v>656</v>
      </c>
      <c r="E101" s="2"/>
      <c r="G101" s="134"/>
      <c r="H101" s="134">
        <v>5574</v>
      </c>
      <c r="I101" s="133"/>
      <c r="J101" s="5" t="s">
        <v>323</v>
      </c>
      <c r="K101" s="130" t="s">
        <v>328</v>
      </c>
      <c r="L101" s="5"/>
      <c r="M101" s="5" t="s">
        <v>657</v>
      </c>
      <c r="N101" s="3" t="s">
        <v>650</v>
      </c>
    </row>
    <row r="102" spans="1:15" ht="15" hidden="1" customHeight="1">
      <c r="A102" s="2" t="s">
        <v>9</v>
      </c>
      <c r="B102" s="2" t="s">
        <v>332</v>
      </c>
      <c r="C102" s="2" t="s">
        <v>658</v>
      </c>
      <c r="D102" s="2" t="s">
        <v>109</v>
      </c>
      <c r="E102" s="2"/>
      <c r="G102" s="134"/>
      <c r="H102" s="134">
        <f>H96+H93+H92</f>
        <v>11960</v>
      </c>
      <c r="I102" s="133"/>
      <c r="J102" s="5" t="s">
        <v>323</v>
      </c>
      <c r="K102" s="130" t="s">
        <v>328</v>
      </c>
      <c r="L102" s="5"/>
      <c r="M102" s="5" t="s">
        <v>631</v>
      </c>
      <c r="N102" s="3"/>
    </row>
    <row r="103" spans="1:15" ht="25.5" hidden="1" customHeight="1">
      <c r="A103" s="2" t="s">
        <v>9</v>
      </c>
      <c r="B103" s="2" t="s">
        <v>332</v>
      </c>
      <c r="C103" s="2" t="s">
        <v>659</v>
      </c>
      <c r="D103" s="2" t="s">
        <v>452</v>
      </c>
      <c r="E103" s="2"/>
      <c r="G103" s="134"/>
      <c r="H103" s="134">
        <v>785</v>
      </c>
      <c r="I103" s="133"/>
      <c r="J103" s="5" t="s">
        <v>323</v>
      </c>
      <c r="K103" s="130" t="s">
        <v>328</v>
      </c>
      <c r="L103" s="5"/>
      <c r="M103" s="5" t="s">
        <v>660</v>
      </c>
      <c r="N103" s="3" t="s">
        <v>661</v>
      </c>
    </row>
    <row r="104" spans="1:15" ht="25.5" hidden="1" customHeight="1">
      <c r="A104" s="2" t="s">
        <v>9</v>
      </c>
      <c r="B104" s="2" t="s">
        <v>332</v>
      </c>
      <c r="C104" s="2" t="s">
        <v>662</v>
      </c>
      <c r="D104" s="2" t="s">
        <v>663</v>
      </c>
      <c r="E104" s="2"/>
      <c r="G104" s="134"/>
      <c r="H104" s="134"/>
      <c r="I104" s="133"/>
      <c r="J104" s="5" t="s">
        <v>323</v>
      </c>
      <c r="K104" s="130" t="s">
        <v>398</v>
      </c>
      <c r="L104" s="5"/>
      <c r="N104" s="3" t="s">
        <v>664</v>
      </c>
    </row>
    <row r="105" spans="1:15" ht="15" hidden="1" customHeight="1">
      <c r="A105" s="2" t="s">
        <v>9</v>
      </c>
      <c r="B105" s="2" t="s">
        <v>332</v>
      </c>
      <c r="C105" s="2" t="s">
        <v>665</v>
      </c>
      <c r="D105" s="2" t="s">
        <v>477</v>
      </c>
      <c r="E105" s="2"/>
      <c r="G105" s="134"/>
      <c r="H105" s="134">
        <v>1886</v>
      </c>
      <c r="I105" s="133"/>
      <c r="J105" s="5" t="s">
        <v>323</v>
      </c>
      <c r="K105" s="130" t="s">
        <v>328</v>
      </c>
      <c r="L105" s="5"/>
      <c r="M105" s="5" t="s">
        <v>478</v>
      </c>
      <c r="N105" s="3"/>
    </row>
    <row r="106" spans="1:15" ht="51" hidden="1" customHeight="1">
      <c r="A106" s="2" t="s">
        <v>9</v>
      </c>
      <c r="B106" s="2" t="s">
        <v>332</v>
      </c>
      <c r="C106" s="2" t="s">
        <v>666</v>
      </c>
      <c r="D106" s="2" t="s">
        <v>667</v>
      </c>
      <c r="E106" s="2"/>
      <c r="F106" s="129">
        <v>1</v>
      </c>
      <c r="G106" s="134"/>
      <c r="H106" s="134">
        <v>4830</v>
      </c>
      <c r="I106" s="133"/>
      <c r="J106" s="5" t="s">
        <v>323</v>
      </c>
      <c r="K106" s="130" t="s">
        <v>328</v>
      </c>
      <c r="L106" s="5"/>
      <c r="M106" s="5" t="s">
        <v>627</v>
      </c>
      <c r="N106" s="3" t="s">
        <v>668</v>
      </c>
      <c r="O106" s="11" t="s">
        <v>376</v>
      </c>
    </row>
    <row r="107" spans="1:15" ht="30" customHeight="1">
      <c r="A107" s="2" t="s">
        <v>9</v>
      </c>
      <c r="B107" s="2" t="s">
        <v>332</v>
      </c>
      <c r="C107" s="2" t="s">
        <v>669</v>
      </c>
      <c r="D107" s="2" t="s">
        <v>670</v>
      </c>
      <c r="E107" s="2"/>
      <c r="F107" s="129">
        <v>1</v>
      </c>
      <c r="G107" s="134"/>
      <c r="H107" s="134"/>
      <c r="I107" s="133"/>
      <c r="J107" s="5" t="s">
        <v>323</v>
      </c>
      <c r="K107" s="153" t="s">
        <v>398</v>
      </c>
      <c r="L107" s="46" t="s">
        <v>671</v>
      </c>
      <c r="M107" s="5" t="s">
        <v>340</v>
      </c>
      <c r="N107" s="202" t="s">
        <v>672</v>
      </c>
      <c r="O107" s="11" t="s">
        <v>673</v>
      </c>
    </row>
    <row r="108" spans="1:15" ht="30" hidden="1" customHeight="1">
      <c r="A108" s="2" t="s">
        <v>9</v>
      </c>
      <c r="B108" s="2" t="s">
        <v>332</v>
      </c>
      <c r="C108" s="2" t="s">
        <v>674</v>
      </c>
      <c r="D108" s="2" t="s">
        <v>675</v>
      </c>
      <c r="E108" s="2"/>
      <c r="F108" s="129">
        <v>1</v>
      </c>
      <c r="G108" s="134"/>
      <c r="H108" s="134">
        <v>2798</v>
      </c>
      <c r="I108" s="133"/>
      <c r="J108" s="5" t="s">
        <v>323</v>
      </c>
      <c r="K108" s="154" t="s">
        <v>328</v>
      </c>
      <c r="L108" s="47"/>
      <c r="M108" s="5" t="s">
        <v>627</v>
      </c>
      <c r="N108" s="203"/>
      <c r="O108" s="11" t="s">
        <v>458</v>
      </c>
    </row>
    <row r="109" spans="1:15" ht="25.5" hidden="1" customHeight="1">
      <c r="A109" s="2" t="s">
        <v>9</v>
      </c>
      <c r="B109" s="2" t="s">
        <v>332</v>
      </c>
      <c r="C109" s="2" t="s">
        <v>676</v>
      </c>
      <c r="D109" s="2" t="s">
        <v>677</v>
      </c>
      <c r="E109" s="2"/>
      <c r="G109" s="134"/>
      <c r="H109" s="134"/>
      <c r="I109" s="133"/>
      <c r="J109" s="5" t="s">
        <v>323</v>
      </c>
      <c r="K109" s="154" t="s">
        <v>329</v>
      </c>
      <c r="L109" s="47"/>
      <c r="N109" s="52"/>
    </row>
    <row r="110" spans="1:15" ht="15" hidden="1" customHeight="1">
      <c r="A110" s="2" t="s">
        <v>9</v>
      </c>
      <c r="B110" s="2" t="s">
        <v>332</v>
      </c>
      <c r="C110" s="2" t="s">
        <v>678</v>
      </c>
      <c r="D110" s="14" t="s">
        <v>455</v>
      </c>
      <c r="E110" s="2"/>
      <c r="G110" s="134"/>
      <c r="H110" s="134"/>
      <c r="I110" s="133"/>
      <c r="J110" s="5" t="s">
        <v>323</v>
      </c>
      <c r="K110" s="130" t="s">
        <v>329</v>
      </c>
      <c r="L110" s="5"/>
      <c r="N110" s="3"/>
    </row>
    <row r="111" spans="1:15" ht="25.5" hidden="1" customHeight="1">
      <c r="A111" s="2" t="s">
        <v>9</v>
      </c>
      <c r="B111" s="2" t="s">
        <v>332</v>
      </c>
      <c r="C111" s="2" t="s">
        <v>679</v>
      </c>
      <c r="D111" s="14" t="s">
        <v>460</v>
      </c>
      <c r="E111" s="2"/>
      <c r="G111" s="134"/>
      <c r="H111" s="134"/>
      <c r="I111" s="133"/>
      <c r="J111" s="5" t="s">
        <v>323</v>
      </c>
      <c r="K111" s="130" t="s">
        <v>329</v>
      </c>
      <c r="L111" s="5"/>
      <c r="N111" s="3"/>
    </row>
    <row r="112" spans="1:15" ht="38.25" hidden="1" customHeight="1">
      <c r="A112" s="2" t="s">
        <v>9</v>
      </c>
      <c r="B112" s="2" t="s">
        <v>332</v>
      </c>
      <c r="C112" s="2" t="s">
        <v>680</v>
      </c>
      <c r="D112" s="2" t="s">
        <v>681</v>
      </c>
      <c r="E112" s="2"/>
      <c r="G112" s="134"/>
      <c r="H112" s="134"/>
      <c r="I112" s="133"/>
      <c r="J112" s="5" t="s">
        <v>323</v>
      </c>
      <c r="K112" s="130" t="s">
        <v>329</v>
      </c>
      <c r="L112" s="5"/>
      <c r="N112" s="3"/>
    </row>
    <row r="113" spans="1:15" ht="15" hidden="1" customHeight="1">
      <c r="A113" s="2" t="s">
        <v>9</v>
      </c>
      <c r="B113" s="2" t="s">
        <v>332</v>
      </c>
      <c r="C113" s="2" t="s">
        <v>682</v>
      </c>
      <c r="D113" s="2" t="s">
        <v>683</v>
      </c>
      <c r="E113" s="2"/>
      <c r="G113" s="134"/>
      <c r="H113" s="134">
        <v>11178</v>
      </c>
      <c r="I113" s="135"/>
      <c r="J113" s="5" t="s">
        <v>323</v>
      </c>
      <c r="K113" s="130" t="s">
        <v>328</v>
      </c>
      <c r="L113" s="7"/>
      <c r="M113" s="5" t="s">
        <v>631</v>
      </c>
      <c r="N113" s="3"/>
    </row>
    <row r="114" spans="1:15" ht="25.5" hidden="1" customHeight="1">
      <c r="A114" s="2" t="s">
        <v>9</v>
      </c>
      <c r="B114" s="2" t="s">
        <v>332</v>
      </c>
      <c r="C114" s="2" t="s">
        <v>684</v>
      </c>
      <c r="D114" s="2" t="s">
        <v>685</v>
      </c>
      <c r="E114" s="2"/>
      <c r="G114" s="134"/>
      <c r="H114" s="134"/>
      <c r="I114" s="135"/>
      <c r="J114" s="5" t="s">
        <v>323</v>
      </c>
      <c r="K114" s="130" t="s">
        <v>328</v>
      </c>
      <c r="L114" s="7"/>
      <c r="N114" s="3" t="s">
        <v>686</v>
      </c>
    </row>
    <row r="115" spans="1:15" ht="25.5" hidden="1" customHeight="1">
      <c r="A115" s="2" t="s">
        <v>9</v>
      </c>
      <c r="B115" s="2" t="s">
        <v>332</v>
      </c>
      <c r="C115" s="2" t="s">
        <v>687</v>
      </c>
      <c r="D115" s="2" t="s">
        <v>688</v>
      </c>
      <c r="E115" s="2"/>
      <c r="G115" s="134"/>
      <c r="H115" s="134"/>
      <c r="I115" s="135"/>
      <c r="J115" s="5" t="s">
        <v>323</v>
      </c>
      <c r="K115" s="130" t="s">
        <v>328</v>
      </c>
      <c r="L115" s="7"/>
      <c r="N115" s="3" t="s">
        <v>686</v>
      </c>
    </row>
    <row r="116" spans="1:15" ht="25.5" hidden="1" customHeight="1">
      <c r="A116" s="2" t="s">
        <v>9</v>
      </c>
      <c r="B116" s="2" t="s">
        <v>332</v>
      </c>
      <c r="C116" s="2" t="s">
        <v>689</v>
      </c>
      <c r="D116" s="2" t="s">
        <v>496</v>
      </c>
      <c r="E116" s="2"/>
      <c r="F116" s="129">
        <v>1</v>
      </c>
      <c r="G116" s="134"/>
      <c r="H116" s="134">
        <v>11559</v>
      </c>
      <c r="I116" s="133"/>
      <c r="J116" s="5" t="s">
        <v>323</v>
      </c>
      <c r="K116" s="130" t="s">
        <v>328</v>
      </c>
      <c r="L116" s="5"/>
      <c r="M116" s="5" t="s">
        <v>478</v>
      </c>
      <c r="N116" s="13" t="s">
        <v>497</v>
      </c>
      <c r="O116" s="11" t="s">
        <v>498</v>
      </c>
    </row>
    <row r="117" spans="1:15" ht="15" hidden="1" customHeight="1">
      <c r="A117" s="2" t="s">
        <v>9</v>
      </c>
      <c r="B117" s="2" t="s">
        <v>332</v>
      </c>
      <c r="C117" s="2" t="s">
        <v>690</v>
      </c>
      <c r="D117" s="2" t="s">
        <v>691</v>
      </c>
      <c r="E117" s="2"/>
      <c r="G117" s="134"/>
      <c r="H117" s="134">
        <v>1333</v>
      </c>
      <c r="I117" s="133"/>
      <c r="J117" s="5" t="s">
        <v>323</v>
      </c>
      <c r="K117" s="130" t="s">
        <v>328</v>
      </c>
      <c r="L117" s="5"/>
      <c r="M117" s="5" t="s">
        <v>374</v>
      </c>
      <c r="N117" s="3" t="s">
        <v>692</v>
      </c>
    </row>
    <row r="118" spans="1:15" ht="38.25" hidden="1" customHeight="1">
      <c r="A118" s="2" t="s">
        <v>9</v>
      </c>
      <c r="B118" s="2" t="s">
        <v>332</v>
      </c>
      <c r="C118" s="2" t="s">
        <v>693</v>
      </c>
      <c r="D118" s="2" t="s">
        <v>694</v>
      </c>
      <c r="E118" s="2"/>
      <c r="G118" s="134"/>
      <c r="H118" s="134">
        <v>133</v>
      </c>
      <c r="I118" s="133"/>
      <c r="J118" s="5" t="s">
        <v>323</v>
      </c>
      <c r="K118" s="130" t="s">
        <v>328</v>
      </c>
      <c r="L118" s="5"/>
      <c r="M118" s="5" t="s">
        <v>374</v>
      </c>
      <c r="N118" s="3" t="s">
        <v>695</v>
      </c>
    </row>
    <row r="119" spans="1:15" ht="15" hidden="1" customHeight="1">
      <c r="A119" s="2" t="s">
        <v>9</v>
      </c>
      <c r="B119" s="2" t="s">
        <v>332</v>
      </c>
      <c r="C119" s="2" t="s">
        <v>696</v>
      </c>
      <c r="D119" s="2" t="s">
        <v>697</v>
      </c>
      <c r="E119" s="2"/>
      <c r="G119" s="134"/>
      <c r="H119" s="134">
        <v>635</v>
      </c>
      <c r="I119" s="133"/>
      <c r="J119" s="5" t="s">
        <v>323</v>
      </c>
      <c r="K119" s="130" t="s">
        <v>328</v>
      </c>
      <c r="L119" s="5"/>
      <c r="M119" s="5" t="s">
        <v>698</v>
      </c>
      <c r="N119" s="3" t="s">
        <v>699</v>
      </c>
    </row>
    <row r="120" spans="1:15" ht="25.5" hidden="1" customHeight="1">
      <c r="A120" s="2" t="s">
        <v>9</v>
      </c>
      <c r="B120" s="2" t="s">
        <v>332</v>
      </c>
      <c r="C120" s="2" t="s">
        <v>700</v>
      </c>
      <c r="D120" s="2" t="s">
        <v>701</v>
      </c>
      <c r="E120" s="2"/>
      <c r="G120" s="134"/>
      <c r="H120" s="134">
        <f>H117-H119</f>
        <v>698</v>
      </c>
      <c r="I120" s="133"/>
      <c r="J120" s="5" t="s">
        <v>323</v>
      </c>
      <c r="K120" s="130" t="s">
        <v>328</v>
      </c>
      <c r="L120" s="5"/>
      <c r="M120" s="5" t="s">
        <v>374</v>
      </c>
      <c r="N120" s="3"/>
    </row>
    <row r="121" spans="1:15" ht="25.5" hidden="1" customHeight="1">
      <c r="A121" s="2" t="s">
        <v>9</v>
      </c>
      <c r="B121" s="2" t="s">
        <v>332</v>
      </c>
      <c r="C121" s="2" t="s">
        <v>702</v>
      </c>
      <c r="D121" s="2" t="s">
        <v>703</v>
      </c>
      <c r="E121" s="2"/>
      <c r="G121" s="134"/>
      <c r="H121" s="134"/>
      <c r="I121" s="133"/>
      <c r="J121" s="5" t="s">
        <v>323</v>
      </c>
      <c r="K121" s="130" t="s">
        <v>330</v>
      </c>
      <c r="L121" s="5"/>
      <c r="N121" s="3" t="s">
        <v>704</v>
      </c>
    </row>
    <row r="122" spans="1:15" ht="38.25" hidden="1" customHeight="1">
      <c r="A122" s="2" t="s">
        <v>9</v>
      </c>
      <c r="B122" s="2" t="s">
        <v>332</v>
      </c>
      <c r="C122" s="2" t="s">
        <v>705</v>
      </c>
      <c r="D122" s="2" t="s">
        <v>706</v>
      </c>
      <c r="E122" s="2"/>
      <c r="G122" s="134"/>
      <c r="H122" s="134">
        <v>370</v>
      </c>
      <c r="I122" s="133"/>
      <c r="J122" s="5" t="s">
        <v>323</v>
      </c>
      <c r="K122" s="130" t="s">
        <v>328</v>
      </c>
      <c r="L122" s="5"/>
      <c r="M122" s="5" t="s">
        <v>374</v>
      </c>
      <c r="N122" s="49" t="s">
        <v>707</v>
      </c>
    </row>
    <row r="123" spans="1:15" ht="15" hidden="1" customHeight="1">
      <c r="A123" s="2" t="s">
        <v>9</v>
      </c>
      <c r="B123" s="2" t="s">
        <v>332</v>
      </c>
      <c r="C123" s="2" t="s">
        <v>708</v>
      </c>
      <c r="D123" s="2" t="s">
        <v>709</v>
      </c>
      <c r="E123" s="2"/>
      <c r="G123" s="134"/>
      <c r="H123" s="134">
        <v>256</v>
      </c>
      <c r="I123" s="133"/>
      <c r="J123" s="5" t="s">
        <v>323</v>
      </c>
      <c r="K123" s="130" t="s">
        <v>328</v>
      </c>
      <c r="L123" s="5"/>
      <c r="M123" s="5" t="s">
        <v>374</v>
      </c>
      <c r="N123" s="50"/>
    </row>
    <row r="124" spans="1:15" ht="15" hidden="1" customHeight="1">
      <c r="A124" s="2" t="s">
        <v>9</v>
      </c>
      <c r="B124" s="2" t="s">
        <v>332</v>
      </c>
      <c r="C124" s="2" t="s">
        <v>710</v>
      </c>
      <c r="D124" s="2" t="s">
        <v>711</v>
      </c>
      <c r="E124" s="2"/>
      <c r="G124" s="134"/>
      <c r="H124" s="136">
        <v>145</v>
      </c>
      <c r="I124" s="133"/>
      <c r="J124" s="5" t="s">
        <v>323</v>
      </c>
      <c r="K124" s="130" t="s">
        <v>328</v>
      </c>
      <c r="L124" s="5"/>
      <c r="M124" s="5" t="s">
        <v>428</v>
      </c>
      <c r="N124" s="18" t="s">
        <v>712</v>
      </c>
    </row>
    <row r="125" spans="1:15" ht="15" hidden="1" customHeight="1">
      <c r="A125" s="2" t="s">
        <v>9</v>
      </c>
      <c r="B125" s="2" t="s">
        <v>332</v>
      </c>
      <c r="C125" s="2" t="s">
        <v>713</v>
      </c>
      <c r="D125" s="2" t="s">
        <v>714</v>
      </c>
      <c r="E125" s="2"/>
      <c r="G125" s="134"/>
      <c r="H125" s="134">
        <v>224</v>
      </c>
      <c r="I125" s="133"/>
      <c r="J125" s="5" t="s">
        <v>323</v>
      </c>
      <c r="K125" s="130" t="s">
        <v>328</v>
      </c>
      <c r="L125" s="5"/>
      <c r="M125" s="5" t="s">
        <v>715</v>
      </c>
      <c r="N125" s="3"/>
    </row>
    <row r="126" spans="1:15" ht="15" hidden="1" customHeight="1">
      <c r="A126" s="2" t="s">
        <v>9</v>
      </c>
      <c r="B126" s="2" t="s">
        <v>332</v>
      </c>
      <c r="C126" s="2" t="s">
        <v>716</v>
      </c>
      <c r="D126" s="2" t="s">
        <v>717</v>
      </c>
      <c r="E126" s="2"/>
      <c r="G126" s="134"/>
      <c r="H126" s="134">
        <v>4699</v>
      </c>
      <c r="I126" s="133"/>
      <c r="J126" s="5" t="s">
        <v>323</v>
      </c>
      <c r="K126" s="130" t="s">
        <v>328</v>
      </c>
      <c r="L126" s="5"/>
      <c r="M126" s="5" t="s">
        <v>718</v>
      </c>
      <c r="N126" s="3"/>
      <c r="O126" s="15"/>
    </row>
    <row r="127" spans="1:15" ht="15" hidden="1" customHeight="1">
      <c r="A127" s="2" t="s">
        <v>9</v>
      </c>
      <c r="B127" s="2" t="s">
        <v>332</v>
      </c>
      <c r="C127" s="2" t="s">
        <v>719</v>
      </c>
      <c r="D127" s="2" t="s">
        <v>720</v>
      </c>
      <c r="E127" s="2"/>
      <c r="G127" s="134"/>
      <c r="H127" s="134">
        <v>1729</v>
      </c>
      <c r="I127" s="133"/>
      <c r="J127" s="5" t="s">
        <v>323</v>
      </c>
      <c r="K127" s="130" t="s">
        <v>328</v>
      </c>
      <c r="L127" s="5"/>
      <c r="M127" s="5" t="s">
        <v>546</v>
      </c>
      <c r="N127" s="3" t="s">
        <v>721</v>
      </c>
      <c r="O127" s="15"/>
    </row>
    <row r="128" spans="1:15" ht="15" hidden="1" customHeight="1">
      <c r="A128" s="2" t="s">
        <v>9</v>
      </c>
      <c r="B128" s="2" t="s">
        <v>332</v>
      </c>
      <c r="C128" s="2" t="s">
        <v>722</v>
      </c>
      <c r="D128" s="2" t="s">
        <v>723</v>
      </c>
      <c r="E128" s="2"/>
      <c r="G128" s="134"/>
      <c r="H128" s="134">
        <v>972</v>
      </c>
      <c r="I128" s="133"/>
      <c r="J128" s="5" t="s">
        <v>323</v>
      </c>
      <c r="K128" s="130" t="s">
        <v>328</v>
      </c>
      <c r="L128" s="5"/>
      <c r="M128" s="5" t="s">
        <v>546</v>
      </c>
      <c r="N128" s="3" t="s">
        <v>724</v>
      </c>
    </row>
    <row r="129" spans="1:15" ht="15" hidden="1" customHeight="1">
      <c r="A129" s="2" t="s">
        <v>9</v>
      </c>
      <c r="B129" s="2" t="s">
        <v>332</v>
      </c>
      <c r="C129" s="2" t="s">
        <v>725</v>
      </c>
      <c r="D129" s="2" t="s">
        <v>726</v>
      </c>
      <c r="E129" s="2"/>
      <c r="G129" s="134"/>
      <c r="H129" s="134">
        <v>4004</v>
      </c>
      <c r="I129" s="133"/>
      <c r="J129" s="5" t="s">
        <v>323</v>
      </c>
      <c r="K129" s="130" t="s">
        <v>328</v>
      </c>
      <c r="L129" s="5"/>
      <c r="M129" s="5" t="s">
        <v>727</v>
      </c>
      <c r="N129" s="3"/>
    </row>
    <row r="130" spans="1:15" ht="15" hidden="1" customHeight="1">
      <c r="A130" s="2" t="s">
        <v>9</v>
      </c>
      <c r="B130" s="2" t="s">
        <v>332</v>
      </c>
      <c r="C130" s="2" t="s">
        <v>728</v>
      </c>
      <c r="D130" s="2" t="s">
        <v>729</v>
      </c>
      <c r="E130" s="2"/>
      <c r="G130" s="134"/>
      <c r="H130" s="134">
        <v>3837</v>
      </c>
      <c r="I130" s="133"/>
      <c r="J130" s="5" t="s">
        <v>323</v>
      </c>
      <c r="K130" s="130" t="s">
        <v>328</v>
      </c>
      <c r="L130" s="5"/>
      <c r="M130" s="5" t="s">
        <v>727</v>
      </c>
      <c r="N130" s="3"/>
    </row>
    <row r="131" spans="1:15" ht="15" hidden="1" customHeight="1">
      <c r="A131" s="2" t="s">
        <v>9</v>
      </c>
      <c r="B131" s="2" t="s">
        <v>332</v>
      </c>
      <c r="C131" s="2" t="s">
        <v>730</v>
      </c>
      <c r="D131" s="2" t="s">
        <v>731</v>
      </c>
      <c r="E131" s="2"/>
      <c r="G131" s="134"/>
      <c r="H131" s="134">
        <v>871</v>
      </c>
      <c r="I131" s="133"/>
      <c r="J131" s="5" t="s">
        <v>323</v>
      </c>
      <c r="K131" s="130" t="s">
        <v>328</v>
      </c>
      <c r="L131" s="5"/>
      <c r="M131" s="5" t="s">
        <v>727</v>
      </c>
      <c r="N131" s="3"/>
    </row>
    <row r="132" spans="1:15" ht="15" hidden="1" customHeight="1">
      <c r="A132" s="2" t="s">
        <v>9</v>
      </c>
      <c r="B132" s="2" t="s">
        <v>332</v>
      </c>
      <c r="C132" s="2" t="s">
        <v>732</v>
      </c>
      <c r="D132" s="2" t="s">
        <v>733</v>
      </c>
      <c r="E132" s="2"/>
      <c r="G132" s="134"/>
      <c r="H132" s="134"/>
      <c r="I132" s="133"/>
      <c r="J132" s="5" t="s">
        <v>322</v>
      </c>
      <c r="K132" s="130" t="s">
        <v>329</v>
      </c>
      <c r="L132" s="5"/>
      <c r="M132" s="5" t="s">
        <v>727</v>
      </c>
      <c r="N132" s="3" t="s">
        <v>734</v>
      </c>
    </row>
    <row r="133" spans="1:15" ht="15" hidden="1" customHeight="1">
      <c r="A133" s="2" t="s">
        <v>9</v>
      </c>
      <c r="B133" s="2" t="s">
        <v>332</v>
      </c>
      <c r="C133" s="2" t="s">
        <v>735</v>
      </c>
      <c r="D133" s="2" t="s">
        <v>736</v>
      </c>
      <c r="E133" s="2"/>
      <c r="G133" s="134"/>
      <c r="H133" s="134">
        <v>3828</v>
      </c>
      <c r="I133" s="133"/>
      <c r="J133" s="5" t="s">
        <v>323</v>
      </c>
      <c r="K133" s="130" t="s">
        <v>328</v>
      </c>
      <c r="L133" s="5"/>
      <c r="M133" s="5" t="s">
        <v>727</v>
      </c>
      <c r="N133" s="3"/>
    </row>
    <row r="134" spans="1:15" ht="15" hidden="1" customHeight="1">
      <c r="A134" s="2" t="s">
        <v>9</v>
      </c>
      <c r="B134" s="2" t="s">
        <v>332</v>
      </c>
      <c r="C134" s="2" t="s">
        <v>737</v>
      </c>
      <c r="D134" s="14" t="s">
        <v>94</v>
      </c>
      <c r="E134" s="2"/>
      <c r="G134" s="134"/>
      <c r="H134" s="134"/>
      <c r="I134" s="133"/>
      <c r="J134" s="5" t="s">
        <v>323</v>
      </c>
      <c r="K134" s="130" t="s">
        <v>329</v>
      </c>
      <c r="L134" s="5"/>
      <c r="N134" s="3"/>
    </row>
    <row r="135" spans="1:15" ht="15" hidden="1" customHeight="1">
      <c r="A135" s="2" t="s">
        <v>9</v>
      </c>
      <c r="B135" s="2" t="s">
        <v>332</v>
      </c>
      <c r="C135" s="2" t="s">
        <v>738</v>
      </c>
      <c r="D135" s="14" t="s">
        <v>739</v>
      </c>
      <c r="E135" s="2"/>
      <c r="G135" s="134"/>
      <c r="H135" s="134"/>
      <c r="I135" s="133"/>
      <c r="J135" s="5" t="s">
        <v>323</v>
      </c>
      <c r="K135" s="130" t="s">
        <v>329</v>
      </c>
      <c r="L135" s="5"/>
      <c r="N135" s="3"/>
    </row>
    <row r="136" spans="1:15" ht="15" hidden="1" customHeight="1">
      <c r="A136" s="2" t="s">
        <v>9</v>
      </c>
      <c r="B136" s="2" t="s">
        <v>332</v>
      </c>
      <c r="C136" s="2" t="s">
        <v>740</v>
      </c>
      <c r="D136" s="14" t="s">
        <v>96</v>
      </c>
      <c r="E136" s="2"/>
      <c r="G136" s="134"/>
      <c r="H136" s="134"/>
      <c r="I136" s="133"/>
      <c r="J136" s="5" t="s">
        <v>323</v>
      </c>
      <c r="K136" s="130" t="s">
        <v>329</v>
      </c>
      <c r="L136" s="5"/>
      <c r="N136" s="3"/>
    </row>
    <row r="137" spans="1:15" ht="15" hidden="1" customHeight="1">
      <c r="A137" s="2" t="s">
        <v>9</v>
      </c>
      <c r="B137" s="2" t="s">
        <v>332</v>
      </c>
      <c r="C137" s="2" t="s">
        <v>741</v>
      </c>
      <c r="D137" s="14" t="s">
        <v>742</v>
      </c>
      <c r="E137" s="2"/>
      <c r="G137" s="134"/>
      <c r="H137" s="134"/>
      <c r="I137" s="133"/>
      <c r="J137" s="5" t="s">
        <v>323</v>
      </c>
      <c r="K137" s="130" t="s">
        <v>329</v>
      </c>
      <c r="L137" s="5"/>
      <c r="N137" s="3"/>
    </row>
    <row r="138" spans="1:15" ht="15" hidden="1" customHeight="1">
      <c r="A138" s="2" t="s">
        <v>9</v>
      </c>
      <c r="B138" s="2" t="s">
        <v>332</v>
      </c>
      <c r="C138" s="2" t="s">
        <v>743</v>
      </c>
      <c r="D138" s="14" t="s">
        <v>744</v>
      </c>
      <c r="E138" s="2"/>
      <c r="G138" s="134"/>
      <c r="H138" s="134"/>
      <c r="I138" s="133"/>
      <c r="J138" s="5" t="s">
        <v>323</v>
      </c>
      <c r="K138" s="130" t="s">
        <v>329</v>
      </c>
      <c r="L138" s="5"/>
      <c r="N138" s="3"/>
    </row>
    <row r="139" spans="1:15" ht="15" hidden="1" customHeight="1">
      <c r="A139" s="2" t="s">
        <v>9</v>
      </c>
      <c r="B139" s="2" t="s">
        <v>332</v>
      </c>
      <c r="C139" s="2" t="s">
        <v>745</v>
      </c>
      <c r="D139" s="14" t="s">
        <v>746</v>
      </c>
      <c r="E139" s="2"/>
      <c r="G139" s="134"/>
      <c r="H139" s="134"/>
      <c r="I139" s="133"/>
      <c r="J139" s="5" t="s">
        <v>323</v>
      </c>
      <c r="K139" s="130" t="s">
        <v>329</v>
      </c>
      <c r="L139" s="5"/>
      <c r="N139" s="3"/>
    </row>
    <row r="140" spans="1:15" ht="25.5" hidden="1" customHeight="1">
      <c r="A140" s="2" t="s">
        <v>9</v>
      </c>
      <c r="B140" s="2" t="s">
        <v>332</v>
      </c>
      <c r="C140" s="2" t="s">
        <v>747</v>
      </c>
      <c r="D140" s="2" t="s">
        <v>500</v>
      </c>
      <c r="E140" s="2"/>
      <c r="G140" s="134"/>
      <c r="H140" s="134">
        <v>118</v>
      </c>
      <c r="I140" s="133"/>
      <c r="J140" s="5" t="s">
        <v>323</v>
      </c>
      <c r="K140" s="130" t="s">
        <v>328</v>
      </c>
      <c r="L140" s="5"/>
      <c r="M140" s="5" t="s">
        <v>478</v>
      </c>
      <c r="N140" s="3" t="s">
        <v>748</v>
      </c>
    </row>
    <row r="141" spans="1:15" ht="15" hidden="1" customHeight="1">
      <c r="A141" s="2" t="s">
        <v>9</v>
      </c>
      <c r="B141" s="2" t="s">
        <v>332</v>
      </c>
      <c r="C141" s="2" t="s">
        <v>749</v>
      </c>
      <c r="D141" s="2" t="s">
        <v>504</v>
      </c>
      <c r="E141" s="2"/>
      <c r="G141" s="134"/>
      <c r="H141" s="134">
        <v>11559</v>
      </c>
      <c r="I141" s="133"/>
      <c r="J141" s="5" t="s">
        <v>323</v>
      </c>
      <c r="K141" s="130" t="s">
        <v>328</v>
      </c>
      <c r="L141" s="5"/>
      <c r="M141" s="5" t="s">
        <v>478</v>
      </c>
      <c r="N141" s="3"/>
    </row>
    <row r="142" spans="1:15" ht="25.5" hidden="1" customHeight="1">
      <c r="A142" s="2" t="s">
        <v>9</v>
      </c>
      <c r="B142" s="2" t="s">
        <v>332</v>
      </c>
      <c r="C142" s="2" t="s">
        <v>750</v>
      </c>
      <c r="D142" s="2" t="s">
        <v>481</v>
      </c>
      <c r="E142" s="2"/>
      <c r="G142" s="134"/>
      <c r="H142" s="134">
        <v>9662</v>
      </c>
      <c r="I142" s="133"/>
      <c r="J142" s="5" t="s">
        <v>323</v>
      </c>
      <c r="K142" s="130" t="s">
        <v>328</v>
      </c>
      <c r="L142" s="5"/>
      <c r="M142" s="5" t="s">
        <v>751</v>
      </c>
      <c r="N142" s="3" t="s">
        <v>752</v>
      </c>
    </row>
    <row r="143" spans="1:15" ht="15" hidden="1" customHeight="1">
      <c r="A143" s="2" t="s">
        <v>9</v>
      </c>
      <c r="B143" s="2" t="s">
        <v>332</v>
      </c>
      <c r="C143" s="2" t="s">
        <v>753</v>
      </c>
      <c r="D143" s="2" t="s">
        <v>34</v>
      </c>
      <c r="E143" s="2"/>
      <c r="G143" s="134"/>
      <c r="H143" s="134">
        <v>1906</v>
      </c>
      <c r="I143" s="133"/>
      <c r="J143" s="5" t="s">
        <v>323</v>
      </c>
      <c r="K143" s="130" t="s">
        <v>328</v>
      </c>
      <c r="L143" s="5"/>
      <c r="M143" s="5" t="s">
        <v>478</v>
      </c>
      <c r="N143" s="3"/>
    </row>
    <row r="144" spans="1:15" ht="25.5" hidden="1" customHeight="1">
      <c r="A144" s="2" t="s">
        <v>9</v>
      </c>
      <c r="B144" s="2" t="s">
        <v>332</v>
      </c>
      <c r="C144" s="2" t="s">
        <v>754</v>
      </c>
      <c r="D144" s="2" t="s">
        <v>35</v>
      </c>
      <c r="E144" s="2"/>
      <c r="G144" s="134"/>
      <c r="H144" s="134">
        <v>158</v>
      </c>
      <c r="I144" s="133"/>
      <c r="J144" s="5" t="s">
        <v>323</v>
      </c>
      <c r="K144" s="130" t="s">
        <v>328</v>
      </c>
      <c r="L144" s="5" t="s">
        <v>755</v>
      </c>
      <c r="M144" s="5" t="s">
        <v>490</v>
      </c>
      <c r="N144" s="3" t="s">
        <v>756</v>
      </c>
      <c r="O144" t="s">
        <v>479</v>
      </c>
    </row>
    <row r="145" spans="1:15" ht="15" hidden="1" customHeight="1">
      <c r="A145" s="2" t="s">
        <v>9</v>
      </c>
      <c r="B145" s="2" t="s">
        <v>332</v>
      </c>
      <c r="C145" s="2" t="s">
        <v>757</v>
      </c>
      <c r="D145" s="2" t="s">
        <v>545</v>
      </c>
      <c r="E145" s="2"/>
      <c r="G145" s="134"/>
      <c r="H145" s="134">
        <v>9662</v>
      </c>
      <c r="I145" s="133"/>
      <c r="J145" s="5" t="s">
        <v>323</v>
      </c>
      <c r="K145" s="130" t="s">
        <v>328</v>
      </c>
      <c r="L145" s="5" t="s">
        <v>758</v>
      </c>
      <c r="M145" s="5" t="s">
        <v>751</v>
      </c>
      <c r="N145" s="3"/>
    </row>
    <row r="146" spans="1:15" ht="15" hidden="1" customHeight="1">
      <c r="A146" s="2" t="s">
        <v>9</v>
      </c>
      <c r="B146" s="2" t="s">
        <v>332</v>
      </c>
      <c r="C146" s="2" t="s">
        <v>759</v>
      </c>
      <c r="D146" s="2" t="s">
        <v>548</v>
      </c>
      <c r="E146" s="2"/>
      <c r="G146" s="134"/>
      <c r="H146" s="134">
        <v>4345</v>
      </c>
      <c r="I146" s="133"/>
      <c r="J146" s="5" t="s">
        <v>323</v>
      </c>
      <c r="K146" s="130" t="s">
        <v>328</v>
      </c>
      <c r="L146" s="5"/>
      <c r="M146" s="5" t="s">
        <v>478</v>
      </c>
      <c r="N146" s="3"/>
    </row>
    <row r="147" spans="1:15" ht="15" hidden="1" customHeight="1">
      <c r="A147" s="2" t="s">
        <v>9</v>
      </c>
      <c r="B147" s="2" t="s">
        <v>332</v>
      </c>
      <c r="C147" s="2" t="s">
        <v>760</v>
      </c>
      <c r="D147" s="2" t="s">
        <v>36</v>
      </c>
      <c r="E147" s="2"/>
      <c r="G147" s="134"/>
      <c r="H147" s="134">
        <v>121</v>
      </c>
      <c r="I147" s="133"/>
      <c r="J147" s="5" t="s">
        <v>323</v>
      </c>
      <c r="K147" s="130" t="s">
        <v>328</v>
      </c>
      <c r="L147" s="5"/>
      <c r="M147" s="5" t="s">
        <v>761</v>
      </c>
      <c r="N147" s="3" t="s">
        <v>762</v>
      </c>
    </row>
    <row r="148" spans="1:15" ht="15" hidden="1" customHeight="1">
      <c r="A148" s="2" t="s">
        <v>9</v>
      </c>
      <c r="B148" s="2" t="s">
        <v>332</v>
      </c>
      <c r="C148" s="2" t="s">
        <v>763</v>
      </c>
      <c r="D148" s="2" t="s">
        <v>554</v>
      </c>
      <c r="E148" s="2"/>
      <c r="G148" s="134"/>
      <c r="H148" s="134">
        <v>121</v>
      </c>
      <c r="I148" s="133"/>
      <c r="J148" s="5" t="s">
        <v>323</v>
      </c>
      <c r="K148" s="130" t="s">
        <v>328</v>
      </c>
      <c r="L148" s="5"/>
      <c r="M148" s="5" t="s">
        <v>478</v>
      </c>
      <c r="N148" s="3"/>
    </row>
    <row r="149" spans="1:15" ht="15" hidden="1" customHeight="1">
      <c r="A149" s="2" t="s">
        <v>9</v>
      </c>
      <c r="B149" s="2" t="s">
        <v>332</v>
      </c>
      <c r="C149" s="2" t="s">
        <v>764</v>
      </c>
      <c r="D149" s="2" t="s">
        <v>556</v>
      </c>
      <c r="E149" s="2"/>
      <c r="G149" s="134"/>
      <c r="H149" s="134">
        <v>145</v>
      </c>
      <c r="I149" s="133"/>
      <c r="J149" s="5" t="s">
        <v>323</v>
      </c>
      <c r="K149" s="130" t="s">
        <v>328</v>
      </c>
      <c r="L149" s="5"/>
      <c r="M149" s="5" t="s">
        <v>761</v>
      </c>
      <c r="N149" s="3"/>
    </row>
    <row r="150" spans="1:15" ht="15" hidden="1" customHeight="1">
      <c r="A150" s="2" t="s">
        <v>9</v>
      </c>
      <c r="B150" s="2" t="s">
        <v>332</v>
      </c>
      <c r="C150" s="2" t="s">
        <v>765</v>
      </c>
      <c r="D150" s="2" t="s">
        <v>559</v>
      </c>
      <c r="E150" s="2"/>
      <c r="G150" s="134"/>
      <c r="H150" s="134">
        <v>11559</v>
      </c>
      <c r="I150" s="133"/>
      <c r="J150" s="5" t="s">
        <v>323</v>
      </c>
      <c r="K150" s="130" t="s">
        <v>328</v>
      </c>
      <c r="L150" s="5"/>
      <c r="M150" s="5" t="s">
        <v>478</v>
      </c>
      <c r="N150" s="3"/>
    </row>
    <row r="151" spans="1:15" ht="15" hidden="1" customHeight="1">
      <c r="A151" s="2" t="s">
        <v>9</v>
      </c>
      <c r="B151" s="2" t="s">
        <v>332</v>
      </c>
      <c r="C151" s="2" t="s">
        <v>766</v>
      </c>
      <c r="D151" s="2" t="s">
        <v>56</v>
      </c>
      <c r="E151" s="2"/>
      <c r="G151" s="134"/>
      <c r="H151" s="134">
        <v>11178</v>
      </c>
      <c r="I151" s="133"/>
      <c r="J151" s="5" t="s">
        <v>323</v>
      </c>
      <c r="K151" s="130" t="s">
        <v>328</v>
      </c>
      <c r="L151" s="5"/>
      <c r="M151" s="5" t="s">
        <v>478</v>
      </c>
      <c r="N151" s="3"/>
    </row>
    <row r="152" spans="1:15" ht="15" hidden="1" customHeight="1">
      <c r="A152" s="2" t="s">
        <v>9</v>
      </c>
      <c r="B152" s="2" t="s">
        <v>332</v>
      </c>
      <c r="C152" s="2" t="s">
        <v>767</v>
      </c>
      <c r="D152" s="2" t="s">
        <v>562</v>
      </c>
      <c r="E152" s="2"/>
      <c r="G152" s="134"/>
      <c r="H152" s="134"/>
      <c r="I152" s="133"/>
      <c r="J152" s="5" t="s">
        <v>323</v>
      </c>
      <c r="K152" s="130" t="s">
        <v>330</v>
      </c>
      <c r="L152" s="5"/>
      <c r="N152" s="3"/>
    </row>
    <row r="153" spans="1:15" ht="15" hidden="1" customHeight="1">
      <c r="A153" s="2" t="s">
        <v>9</v>
      </c>
      <c r="B153" s="2" t="s">
        <v>332</v>
      </c>
      <c r="C153" s="2" t="s">
        <v>768</v>
      </c>
      <c r="D153" s="2" t="s">
        <v>565</v>
      </c>
      <c r="E153" s="2"/>
      <c r="G153" s="133"/>
      <c r="H153" s="134"/>
      <c r="I153" s="133"/>
      <c r="J153" s="5" t="s">
        <v>323</v>
      </c>
      <c r="K153" s="130" t="s">
        <v>329</v>
      </c>
      <c r="L153" s="5"/>
      <c r="N153" s="3" t="s">
        <v>769</v>
      </c>
    </row>
    <row r="154" spans="1:15" ht="15" hidden="1" customHeight="1">
      <c r="A154" s="2" t="s">
        <v>9</v>
      </c>
      <c r="B154" s="2" t="s">
        <v>332</v>
      </c>
      <c r="C154" s="2" t="s">
        <v>770</v>
      </c>
      <c r="D154" s="2" t="s">
        <v>59</v>
      </c>
      <c r="E154" s="2"/>
      <c r="G154" s="133"/>
      <c r="H154" s="134">
        <v>118</v>
      </c>
      <c r="I154" s="133"/>
      <c r="J154" s="5" t="s">
        <v>323</v>
      </c>
      <c r="K154" s="130" t="s">
        <v>328</v>
      </c>
      <c r="L154" s="5"/>
      <c r="M154" s="5" t="s">
        <v>478</v>
      </c>
      <c r="N154" s="3"/>
    </row>
    <row r="155" spans="1:15" ht="15" hidden="1" customHeight="1">
      <c r="A155" s="2" t="s">
        <v>182</v>
      </c>
      <c r="B155" s="2" t="s">
        <v>332</v>
      </c>
      <c r="C155" s="2" t="s">
        <v>771</v>
      </c>
      <c r="D155" s="2" t="s">
        <v>772</v>
      </c>
      <c r="H155" s="138">
        <v>6829</v>
      </c>
      <c r="I155" s="138"/>
      <c r="J155" s="5" t="s">
        <v>323</v>
      </c>
      <c r="K155" s="130" t="s">
        <v>328</v>
      </c>
      <c r="L155" s="5"/>
      <c r="N155" s="11" t="s">
        <v>773</v>
      </c>
    </row>
    <row r="156" spans="1:15" ht="30" hidden="1" customHeight="1">
      <c r="A156" s="2" t="s">
        <v>182</v>
      </c>
      <c r="B156" s="2" t="s">
        <v>332</v>
      </c>
      <c r="C156" s="2" t="s">
        <v>774</v>
      </c>
      <c r="D156" s="2" t="s">
        <v>578</v>
      </c>
      <c r="H156" s="138">
        <v>681</v>
      </c>
      <c r="I156" s="138"/>
      <c r="J156" s="5" t="s">
        <v>323</v>
      </c>
      <c r="K156" s="130" t="s">
        <v>328</v>
      </c>
      <c r="L156" s="5"/>
      <c r="M156" s="5" t="s">
        <v>775</v>
      </c>
      <c r="N156" s="11" t="s">
        <v>776</v>
      </c>
    </row>
    <row r="157" spans="1:15" ht="25.5" hidden="1" customHeight="1">
      <c r="A157" s="2" t="s">
        <v>182</v>
      </c>
      <c r="B157" s="2" t="s">
        <v>332</v>
      </c>
      <c r="C157" s="2" t="s">
        <v>777</v>
      </c>
      <c r="D157" s="2" t="s">
        <v>778</v>
      </c>
      <c r="H157" s="138">
        <v>54</v>
      </c>
      <c r="I157" s="138"/>
      <c r="J157" s="5" t="s">
        <v>323</v>
      </c>
      <c r="K157" s="130" t="s">
        <v>328</v>
      </c>
      <c r="L157" s="5"/>
      <c r="M157" s="5" t="s">
        <v>478</v>
      </c>
      <c r="N157" s="191" t="s">
        <v>779</v>
      </c>
    </row>
    <row r="158" spans="1:15" ht="25.5" hidden="1" customHeight="1">
      <c r="A158" s="2" t="s">
        <v>182</v>
      </c>
      <c r="B158" s="2" t="s">
        <v>332</v>
      </c>
      <c r="C158" s="2" t="s">
        <v>780</v>
      </c>
      <c r="D158" s="2" t="s">
        <v>781</v>
      </c>
      <c r="H158" s="138">
        <v>54</v>
      </c>
      <c r="I158" s="138"/>
      <c r="J158" s="5" t="s">
        <v>323</v>
      </c>
      <c r="K158" s="130" t="s">
        <v>328</v>
      </c>
      <c r="L158" s="5"/>
      <c r="N158" s="191"/>
    </row>
    <row r="159" spans="1:15" ht="15" hidden="1" customHeight="1">
      <c r="A159" s="2" t="s">
        <v>182</v>
      </c>
      <c r="B159" s="2" t="s">
        <v>332</v>
      </c>
      <c r="C159" s="2" t="s">
        <v>782</v>
      </c>
      <c r="D159" s="19" t="s">
        <v>783</v>
      </c>
      <c r="E159" s="21"/>
      <c r="G159" s="139">
        <f>G160</f>
        <v>6463</v>
      </c>
      <c r="H159" s="138">
        <f>H160+H161-6</f>
        <v>6473</v>
      </c>
      <c r="I159" s="140">
        <f>(G159-H159)/G159</f>
        <v>-1.5472690700912889E-3</v>
      </c>
      <c r="J159" s="5" t="s">
        <v>321</v>
      </c>
      <c r="K159" s="130" t="s">
        <v>328</v>
      </c>
      <c r="L159" s="5"/>
      <c r="M159" s="5" t="s">
        <v>784</v>
      </c>
      <c r="N159" s="11" t="s">
        <v>785</v>
      </c>
    </row>
    <row r="160" spans="1:15" ht="15" hidden="1" customHeight="1">
      <c r="A160" s="2" t="s">
        <v>182</v>
      </c>
      <c r="B160" s="2" t="s">
        <v>332</v>
      </c>
      <c r="C160" s="2" t="s">
        <v>786</v>
      </c>
      <c r="D160" s="2" t="s">
        <v>581</v>
      </c>
      <c r="F160" s="129">
        <v>1</v>
      </c>
      <c r="G160" s="196">
        <v>6463</v>
      </c>
      <c r="H160" s="138">
        <v>6164</v>
      </c>
      <c r="I160" s="197">
        <f>(G160-(H160+H161-6))/G160</f>
        <v>-1.5472690700912889E-3</v>
      </c>
      <c r="J160" s="5" t="s">
        <v>321</v>
      </c>
      <c r="K160" s="130" t="s">
        <v>328</v>
      </c>
      <c r="L160" s="5"/>
      <c r="M160" s="5" t="s">
        <v>478</v>
      </c>
      <c r="N160" s="36" t="s">
        <v>787</v>
      </c>
      <c r="O160" s="11" t="s">
        <v>788</v>
      </c>
    </row>
    <row r="161" spans="1:15" ht="15" hidden="1" customHeight="1">
      <c r="A161" s="2" t="s">
        <v>182</v>
      </c>
      <c r="B161" s="2" t="s">
        <v>332</v>
      </c>
      <c r="C161" s="2" t="s">
        <v>789</v>
      </c>
      <c r="D161" s="2" t="s">
        <v>585</v>
      </c>
      <c r="F161" s="129">
        <v>1</v>
      </c>
      <c r="G161" s="196"/>
      <c r="H161" s="138">
        <v>315</v>
      </c>
      <c r="I161" s="197"/>
      <c r="J161" s="5" t="s">
        <v>321</v>
      </c>
      <c r="K161" s="130" t="s">
        <v>328</v>
      </c>
      <c r="L161" s="5"/>
      <c r="M161" s="5" t="s">
        <v>478</v>
      </c>
      <c r="N161" s="36" t="s">
        <v>787</v>
      </c>
      <c r="O161" s="11" t="s">
        <v>788</v>
      </c>
    </row>
    <row r="162" spans="1:15" ht="15" hidden="1" customHeight="1">
      <c r="A162" s="2" t="s">
        <v>182</v>
      </c>
      <c r="B162" s="2" t="s">
        <v>332</v>
      </c>
      <c r="C162" s="2" t="s">
        <v>790</v>
      </c>
      <c r="D162" s="2" t="s">
        <v>791</v>
      </c>
      <c r="H162" s="144"/>
      <c r="I162" s="138"/>
      <c r="J162" s="5" t="s">
        <v>323</v>
      </c>
      <c r="K162" s="130" t="s">
        <v>329</v>
      </c>
      <c r="L162" s="5" t="s">
        <v>792</v>
      </c>
      <c r="M162" s="5" t="s">
        <v>793</v>
      </c>
    </row>
    <row r="163" spans="1:15" ht="15" hidden="1" customHeight="1">
      <c r="A163" s="2" t="s">
        <v>182</v>
      </c>
      <c r="B163" s="2" t="s">
        <v>332</v>
      </c>
      <c r="C163" s="2" t="s">
        <v>794</v>
      </c>
      <c r="D163" s="2" t="s">
        <v>795</v>
      </c>
      <c r="H163" s="144"/>
      <c r="I163" s="138"/>
      <c r="J163" s="5" t="s">
        <v>323</v>
      </c>
      <c r="K163" s="130" t="s">
        <v>329</v>
      </c>
      <c r="L163" s="5" t="s">
        <v>792</v>
      </c>
      <c r="M163" s="5" t="s">
        <v>793</v>
      </c>
      <c r="N163" s="11" t="s">
        <v>796</v>
      </c>
    </row>
    <row r="164" spans="1:15" ht="15" hidden="1" customHeight="1">
      <c r="A164" s="2" t="s">
        <v>182</v>
      </c>
      <c r="B164" s="2" t="s">
        <v>332</v>
      </c>
      <c r="C164" s="2" t="s">
        <v>797</v>
      </c>
      <c r="D164" s="2" t="s">
        <v>73</v>
      </c>
      <c r="F164" s="129">
        <v>1</v>
      </c>
      <c r="G164" s="138">
        <v>4489</v>
      </c>
      <c r="H164" s="138">
        <v>4432</v>
      </c>
      <c r="I164" s="140">
        <f>(G164-H164)/G164</f>
        <v>1.2697705502339051E-2</v>
      </c>
      <c r="J164" s="5" t="s">
        <v>321</v>
      </c>
      <c r="K164" s="130" t="s">
        <v>328</v>
      </c>
      <c r="L164" s="5"/>
      <c r="M164" s="5" t="s">
        <v>604</v>
      </c>
      <c r="O164" s="11" t="s">
        <v>376</v>
      </c>
    </row>
    <row r="165" spans="1:15" ht="15" hidden="1" customHeight="1">
      <c r="A165" s="2" t="s">
        <v>182</v>
      </c>
      <c r="B165" s="2" t="s">
        <v>332</v>
      </c>
      <c r="C165" s="2" t="s">
        <v>798</v>
      </c>
      <c r="D165" s="2" t="s">
        <v>799</v>
      </c>
      <c r="H165" s="138">
        <v>848</v>
      </c>
      <c r="I165" s="142"/>
      <c r="J165" s="5" t="s">
        <v>323</v>
      </c>
      <c r="K165" s="130" t="s">
        <v>328</v>
      </c>
      <c r="L165" s="5"/>
    </row>
    <row r="166" spans="1:15" ht="15" hidden="1" customHeight="1">
      <c r="A166" s="2" t="s">
        <v>182</v>
      </c>
      <c r="B166" s="2" t="s">
        <v>332</v>
      </c>
      <c r="C166" s="2" t="s">
        <v>800</v>
      </c>
      <c r="D166" s="2" t="s">
        <v>609</v>
      </c>
      <c r="H166" s="138">
        <v>651</v>
      </c>
      <c r="I166" s="138"/>
      <c r="J166" s="5" t="s">
        <v>323</v>
      </c>
      <c r="K166" s="130" t="s">
        <v>328</v>
      </c>
      <c r="L166" s="5"/>
      <c r="M166" s="5" t="s">
        <v>801</v>
      </c>
      <c r="N166" s="11" t="s">
        <v>802</v>
      </c>
      <c r="O166" t="s">
        <v>479</v>
      </c>
    </row>
    <row r="167" spans="1:15" ht="15" hidden="1" customHeight="1">
      <c r="A167" s="2" t="s">
        <v>182</v>
      </c>
      <c r="B167" s="2" t="s">
        <v>332</v>
      </c>
      <c r="C167" s="2" t="s">
        <v>803</v>
      </c>
      <c r="D167" s="2" t="s">
        <v>612</v>
      </c>
      <c r="I167" s="138"/>
      <c r="J167" s="5" t="s">
        <v>323</v>
      </c>
      <c r="K167" s="130" t="s">
        <v>330</v>
      </c>
      <c r="L167" s="5" t="s">
        <v>755</v>
      </c>
      <c r="N167" s="11" t="s">
        <v>804</v>
      </c>
      <c r="O167" t="s">
        <v>479</v>
      </c>
    </row>
    <row r="168" spans="1:15" ht="15" hidden="1" customHeight="1">
      <c r="A168" s="2" t="s">
        <v>182</v>
      </c>
      <c r="B168" s="2" t="s">
        <v>332</v>
      </c>
      <c r="C168" s="2" t="s">
        <v>805</v>
      </c>
      <c r="D168" s="2" t="s">
        <v>806</v>
      </c>
      <c r="H168" s="138">
        <v>252</v>
      </c>
      <c r="J168" s="5" t="s">
        <v>323</v>
      </c>
      <c r="K168" s="130" t="s">
        <v>328</v>
      </c>
      <c r="L168" s="5"/>
      <c r="M168" s="5" t="s">
        <v>807</v>
      </c>
      <c r="N168" s="11" t="s">
        <v>808</v>
      </c>
    </row>
    <row r="169" spans="1:15" ht="15" hidden="1" customHeight="1">
      <c r="A169" s="2" t="s">
        <v>182</v>
      </c>
      <c r="B169" s="2" t="s">
        <v>332</v>
      </c>
      <c r="C169" s="2" t="s">
        <v>809</v>
      </c>
      <c r="D169" s="2" t="s">
        <v>810</v>
      </c>
      <c r="H169" s="138">
        <v>29</v>
      </c>
      <c r="J169" s="5" t="s">
        <v>323</v>
      </c>
      <c r="K169" s="130" t="s">
        <v>328</v>
      </c>
      <c r="L169" s="5"/>
      <c r="M169" s="5" t="s">
        <v>807</v>
      </c>
    </row>
    <row r="170" spans="1:15" ht="15" hidden="1" customHeight="1">
      <c r="A170" s="2" t="s">
        <v>182</v>
      </c>
      <c r="B170" s="2" t="s">
        <v>332</v>
      </c>
      <c r="C170" s="2" t="s">
        <v>811</v>
      </c>
      <c r="D170" s="2" t="s">
        <v>592</v>
      </c>
      <c r="H170" s="138">
        <v>5538</v>
      </c>
      <c r="I170" s="138"/>
      <c r="J170" s="5" t="s">
        <v>323</v>
      </c>
      <c r="K170" s="130" t="s">
        <v>328</v>
      </c>
      <c r="L170" s="5"/>
    </row>
    <row r="171" spans="1:15" ht="25.5" hidden="1" customHeight="1">
      <c r="A171" s="2" t="s">
        <v>182</v>
      </c>
      <c r="B171" s="2" t="s">
        <v>332</v>
      </c>
      <c r="C171" s="2" t="s">
        <v>812</v>
      </c>
      <c r="D171" s="2" t="s">
        <v>598</v>
      </c>
      <c r="H171" s="138">
        <v>415</v>
      </c>
      <c r="I171" s="138"/>
      <c r="J171" s="5" t="s">
        <v>323</v>
      </c>
      <c r="K171" s="130" t="s">
        <v>328</v>
      </c>
      <c r="L171" s="5"/>
    </row>
    <row r="172" spans="1:15" ht="45" hidden="1" customHeight="1">
      <c r="A172" s="2" t="s">
        <v>182</v>
      </c>
      <c r="B172" s="2" t="s">
        <v>332</v>
      </c>
      <c r="C172" s="2" t="s">
        <v>813</v>
      </c>
      <c r="D172" s="2" t="s">
        <v>625</v>
      </c>
      <c r="F172" s="129">
        <v>1</v>
      </c>
      <c r="G172" s="138">
        <v>2769</v>
      </c>
      <c r="H172" s="138">
        <v>2749</v>
      </c>
      <c r="I172" s="140">
        <f t="shared" ref="I172:I173" si="0">(G172-H172)/G172</f>
        <v>7.2228241242325748E-3</v>
      </c>
      <c r="J172" s="5" t="s">
        <v>321</v>
      </c>
      <c r="K172" s="130" t="s">
        <v>328</v>
      </c>
      <c r="L172" s="5" t="s">
        <v>755</v>
      </c>
      <c r="M172" s="5" t="s">
        <v>627</v>
      </c>
      <c r="N172" s="11" t="s">
        <v>814</v>
      </c>
      <c r="O172" s="11" t="s">
        <v>815</v>
      </c>
    </row>
    <row r="173" spans="1:15" ht="30" hidden="1" customHeight="1">
      <c r="A173" s="2" t="s">
        <v>182</v>
      </c>
      <c r="B173" s="2" t="s">
        <v>332</v>
      </c>
      <c r="C173" s="2" t="s">
        <v>816</v>
      </c>
      <c r="D173" s="2" t="s">
        <v>630</v>
      </c>
      <c r="F173" s="129">
        <v>1</v>
      </c>
      <c r="G173" s="138">
        <v>1513</v>
      </c>
      <c r="H173" s="138">
        <v>1509</v>
      </c>
      <c r="I173" s="140">
        <f t="shared" si="0"/>
        <v>2.6437541308658294E-3</v>
      </c>
      <c r="J173" s="5" t="s">
        <v>320</v>
      </c>
      <c r="K173" s="130" t="s">
        <v>328</v>
      </c>
      <c r="L173" s="5"/>
      <c r="M173" s="5" t="s">
        <v>817</v>
      </c>
      <c r="N173" s="37" t="s">
        <v>818</v>
      </c>
      <c r="O173" s="11" t="s">
        <v>819</v>
      </c>
    </row>
    <row r="174" spans="1:15" ht="15" hidden="1" customHeight="1">
      <c r="A174" s="2" t="s">
        <v>182</v>
      </c>
      <c r="B174" s="2" t="s">
        <v>332</v>
      </c>
      <c r="C174" s="2" t="s">
        <v>820</v>
      </c>
      <c r="D174" s="2" t="s">
        <v>394</v>
      </c>
      <c r="H174" s="138">
        <v>531</v>
      </c>
      <c r="J174" s="5" t="s">
        <v>323</v>
      </c>
      <c r="K174" s="130" t="s">
        <v>328</v>
      </c>
      <c r="L174" s="5"/>
      <c r="M174" s="5" t="s">
        <v>385</v>
      </c>
      <c r="N174" s="11" t="s">
        <v>821</v>
      </c>
    </row>
    <row r="175" spans="1:15" ht="15" hidden="1" customHeight="1">
      <c r="A175" s="2" t="s">
        <v>182</v>
      </c>
      <c r="B175" s="2" t="s">
        <v>332</v>
      </c>
      <c r="C175" s="2" t="s">
        <v>822</v>
      </c>
      <c r="D175" s="2" t="s">
        <v>823</v>
      </c>
      <c r="I175" s="138"/>
      <c r="J175" s="5" t="s">
        <v>323</v>
      </c>
      <c r="K175" s="130" t="s">
        <v>330</v>
      </c>
      <c r="L175" s="5"/>
      <c r="N175" s="11" t="s">
        <v>824</v>
      </c>
    </row>
    <row r="176" spans="1:15" ht="15" hidden="1" customHeight="1">
      <c r="A176" s="2" t="s">
        <v>182</v>
      </c>
      <c r="B176" s="2" t="s">
        <v>332</v>
      </c>
      <c r="C176" s="2" t="s">
        <v>825</v>
      </c>
      <c r="D176" s="2" t="s">
        <v>649</v>
      </c>
      <c r="H176" s="138">
        <v>1243</v>
      </c>
      <c r="J176" s="5" t="s">
        <v>323</v>
      </c>
      <c r="K176" s="130" t="s">
        <v>328</v>
      </c>
      <c r="L176" s="5" t="s">
        <v>755</v>
      </c>
      <c r="M176" s="5" t="s">
        <v>546</v>
      </c>
      <c r="N176" s="11" t="s">
        <v>826</v>
      </c>
      <c r="O176" t="s">
        <v>479</v>
      </c>
    </row>
    <row r="177" spans="1:15" ht="25.5" hidden="1" customHeight="1">
      <c r="A177" s="2" t="s">
        <v>182</v>
      </c>
      <c r="B177" s="2" t="s">
        <v>332</v>
      </c>
      <c r="C177" s="2" t="s">
        <v>827</v>
      </c>
      <c r="D177" s="2" t="s">
        <v>656</v>
      </c>
      <c r="H177" s="138">
        <v>934</v>
      </c>
      <c r="J177" s="5" t="s">
        <v>323</v>
      </c>
      <c r="K177" s="130" t="s">
        <v>328</v>
      </c>
      <c r="L177" s="5"/>
      <c r="M177" s="5" t="s">
        <v>657</v>
      </c>
    </row>
    <row r="178" spans="1:15" ht="15" hidden="1" customHeight="1">
      <c r="A178" s="2" t="s">
        <v>182</v>
      </c>
      <c r="B178" s="2" t="s">
        <v>332</v>
      </c>
      <c r="C178" s="2" t="s">
        <v>828</v>
      </c>
      <c r="D178" s="2" t="s">
        <v>109</v>
      </c>
      <c r="H178" s="138">
        <v>5192</v>
      </c>
      <c r="J178" s="5" t="s">
        <v>323</v>
      </c>
      <c r="K178" s="130" t="s">
        <v>328</v>
      </c>
      <c r="L178" s="5"/>
      <c r="M178" s="5" t="s">
        <v>718</v>
      </c>
    </row>
    <row r="179" spans="1:15" ht="15" hidden="1" customHeight="1">
      <c r="A179" s="2" t="s">
        <v>182</v>
      </c>
      <c r="B179" s="2" t="s">
        <v>332</v>
      </c>
      <c r="C179" s="2" t="s">
        <v>829</v>
      </c>
      <c r="D179" s="2" t="s">
        <v>830</v>
      </c>
      <c r="I179" s="138"/>
      <c r="J179" s="5" t="s">
        <v>323</v>
      </c>
      <c r="K179" s="130" t="s">
        <v>329</v>
      </c>
      <c r="L179" s="5"/>
      <c r="M179" s="5" t="s">
        <v>478</v>
      </c>
      <c r="N179" s="11" t="s">
        <v>831</v>
      </c>
    </row>
    <row r="180" spans="1:15" ht="15" hidden="1" customHeight="1">
      <c r="A180" s="2" t="s">
        <v>182</v>
      </c>
      <c r="B180" s="2" t="s">
        <v>332</v>
      </c>
      <c r="C180" s="2" t="s">
        <v>832</v>
      </c>
      <c r="D180" s="2" t="s">
        <v>477</v>
      </c>
      <c r="H180" s="138">
        <v>481</v>
      </c>
      <c r="J180" s="5" t="s">
        <v>323</v>
      </c>
      <c r="K180" s="130" t="s">
        <v>328</v>
      </c>
      <c r="L180" s="5"/>
      <c r="M180" s="5" t="s">
        <v>546</v>
      </c>
      <c r="N180" s="11" t="s">
        <v>833</v>
      </c>
    </row>
    <row r="181" spans="1:15" ht="25.5" hidden="1" customHeight="1">
      <c r="A181" s="2" t="s">
        <v>182</v>
      </c>
      <c r="B181" s="2" t="s">
        <v>332</v>
      </c>
      <c r="C181" s="2" t="s">
        <v>834</v>
      </c>
      <c r="D181" s="2" t="s">
        <v>481</v>
      </c>
      <c r="H181" s="138">
        <v>481</v>
      </c>
      <c r="I181" s="138"/>
      <c r="J181" s="5" t="s">
        <v>323</v>
      </c>
      <c r="K181" s="130" t="s">
        <v>328</v>
      </c>
      <c r="L181" s="5"/>
    </row>
    <row r="182" spans="1:15" ht="25.5" hidden="1" customHeight="1">
      <c r="A182" s="2" t="s">
        <v>182</v>
      </c>
      <c r="B182" s="2" t="s">
        <v>332</v>
      </c>
      <c r="C182" s="2" t="s">
        <v>835</v>
      </c>
      <c r="D182" s="2" t="s">
        <v>667</v>
      </c>
      <c r="F182" s="129">
        <v>1</v>
      </c>
      <c r="H182" s="138">
        <v>2488</v>
      </c>
      <c r="J182" s="5" t="s">
        <v>323</v>
      </c>
      <c r="K182" s="130" t="s">
        <v>328</v>
      </c>
      <c r="L182" s="5" t="s">
        <v>836</v>
      </c>
      <c r="M182" s="5" t="s">
        <v>627</v>
      </c>
      <c r="N182" s="36" t="s">
        <v>837</v>
      </c>
      <c r="O182" s="11" t="s">
        <v>788</v>
      </c>
    </row>
    <row r="183" spans="1:15" ht="25.5" customHeight="1">
      <c r="A183" s="2" t="s">
        <v>182</v>
      </c>
      <c r="B183" s="2" t="s">
        <v>332</v>
      </c>
      <c r="C183" s="2" t="s">
        <v>838</v>
      </c>
      <c r="D183" s="2" t="s">
        <v>670</v>
      </c>
      <c r="F183" s="129">
        <v>1</v>
      </c>
      <c r="I183" s="138"/>
      <c r="J183" s="5" t="s">
        <v>323</v>
      </c>
      <c r="K183" s="130" t="s">
        <v>329</v>
      </c>
      <c r="L183" s="5" t="s">
        <v>836</v>
      </c>
      <c r="M183" s="5" t="s">
        <v>340</v>
      </c>
      <c r="N183" s="36" t="s">
        <v>839</v>
      </c>
      <c r="O183" s="11" t="s">
        <v>788</v>
      </c>
    </row>
    <row r="184" spans="1:15" ht="15" hidden="1" customHeight="1">
      <c r="A184" s="2" t="s">
        <v>182</v>
      </c>
      <c r="B184" s="2" t="s">
        <v>332</v>
      </c>
      <c r="C184" s="2" t="s">
        <v>840</v>
      </c>
      <c r="D184" s="2" t="s">
        <v>675</v>
      </c>
      <c r="H184" s="138">
        <v>369</v>
      </c>
      <c r="J184" s="5" t="s">
        <v>323</v>
      </c>
      <c r="K184" s="130" t="s">
        <v>328</v>
      </c>
      <c r="L184" s="5"/>
      <c r="M184" s="5" t="s">
        <v>627</v>
      </c>
      <c r="N184" s="36" t="s">
        <v>837</v>
      </c>
    </row>
    <row r="185" spans="1:15" ht="15" hidden="1" customHeight="1">
      <c r="A185" s="2" t="s">
        <v>182</v>
      </c>
      <c r="B185" s="2" t="s">
        <v>332</v>
      </c>
      <c r="C185" s="2" t="s">
        <v>841</v>
      </c>
      <c r="D185" s="14" t="s">
        <v>842</v>
      </c>
      <c r="I185" s="138"/>
      <c r="J185" s="5" t="s">
        <v>323</v>
      </c>
      <c r="K185" s="130" t="s">
        <v>329</v>
      </c>
      <c r="L185" s="5"/>
    </row>
    <row r="186" spans="1:15" ht="25.5" hidden="1" customHeight="1">
      <c r="A186" s="2" t="s">
        <v>182</v>
      </c>
      <c r="B186" s="2" t="s">
        <v>332</v>
      </c>
      <c r="C186" s="2" t="s">
        <v>843</v>
      </c>
      <c r="D186" s="14" t="s">
        <v>460</v>
      </c>
      <c r="I186" s="138"/>
      <c r="J186" s="5" t="s">
        <v>323</v>
      </c>
      <c r="K186" s="130" t="s">
        <v>329</v>
      </c>
      <c r="L186" s="5"/>
    </row>
    <row r="187" spans="1:15" ht="25.5" hidden="1" customHeight="1">
      <c r="A187" s="2" t="s">
        <v>182</v>
      </c>
      <c r="B187" s="2" t="s">
        <v>332</v>
      </c>
      <c r="C187" s="2" t="s">
        <v>844</v>
      </c>
      <c r="D187" s="2" t="s">
        <v>683</v>
      </c>
      <c r="H187" s="138">
        <v>5192</v>
      </c>
      <c r="J187" s="5" t="s">
        <v>323</v>
      </c>
      <c r="K187" s="130" t="s">
        <v>328</v>
      </c>
      <c r="L187" s="5"/>
      <c r="M187" s="5" t="s">
        <v>657</v>
      </c>
    </row>
    <row r="188" spans="1:15" ht="30" hidden="1" customHeight="1">
      <c r="A188" s="2" t="s">
        <v>182</v>
      </c>
      <c r="B188" s="2" t="s">
        <v>332</v>
      </c>
      <c r="C188" s="2" t="s">
        <v>845</v>
      </c>
      <c r="D188" s="2" t="s">
        <v>198</v>
      </c>
      <c r="H188" s="138">
        <v>4980</v>
      </c>
      <c r="J188" s="5" t="s">
        <v>323</v>
      </c>
      <c r="K188" s="130" t="s">
        <v>328</v>
      </c>
      <c r="L188" s="5" t="s">
        <v>846</v>
      </c>
      <c r="M188" s="5" t="s">
        <v>478</v>
      </c>
      <c r="N188" s="11" t="s">
        <v>847</v>
      </c>
    </row>
    <row r="189" spans="1:15" ht="15" hidden="1" customHeight="1">
      <c r="A189" s="2" t="s">
        <v>182</v>
      </c>
      <c r="B189" s="2" t="s">
        <v>332</v>
      </c>
      <c r="C189" s="2" t="s">
        <v>848</v>
      </c>
      <c r="D189" s="2" t="s">
        <v>849</v>
      </c>
      <c r="H189" s="138">
        <v>1279</v>
      </c>
      <c r="J189" s="5" t="s">
        <v>323</v>
      </c>
      <c r="K189" s="130" t="s">
        <v>328</v>
      </c>
      <c r="L189" s="5"/>
      <c r="M189" s="5" t="s">
        <v>478</v>
      </c>
    </row>
    <row r="190" spans="1:15" ht="15" hidden="1" customHeight="1">
      <c r="A190" s="2" t="s">
        <v>182</v>
      </c>
      <c r="B190" s="2" t="s">
        <v>332</v>
      </c>
      <c r="C190" s="2" t="s">
        <v>850</v>
      </c>
      <c r="D190" s="2" t="s">
        <v>851</v>
      </c>
      <c r="H190" s="138">
        <v>4980</v>
      </c>
      <c r="J190" s="5" t="s">
        <v>323</v>
      </c>
      <c r="K190" s="130" t="s">
        <v>328</v>
      </c>
      <c r="L190" s="5"/>
      <c r="M190" s="5" t="s">
        <v>478</v>
      </c>
    </row>
    <row r="191" spans="1:15" ht="15" hidden="1" customHeight="1">
      <c r="A191" s="2" t="s">
        <v>182</v>
      </c>
      <c r="B191" s="2" t="s">
        <v>332</v>
      </c>
      <c r="C191" s="2" t="s">
        <v>852</v>
      </c>
      <c r="D191" s="2" t="s">
        <v>853</v>
      </c>
      <c r="H191" s="138">
        <v>252</v>
      </c>
      <c r="J191" s="5" t="s">
        <v>323</v>
      </c>
      <c r="K191" s="130" t="s">
        <v>328</v>
      </c>
      <c r="L191" s="5"/>
      <c r="M191" s="5" t="s">
        <v>807</v>
      </c>
    </row>
    <row r="192" spans="1:15" ht="15" hidden="1" customHeight="1">
      <c r="A192" s="2" t="s">
        <v>182</v>
      </c>
      <c r="B192" s="2" t="s">
        <v>332</v>
      </c>
      <c r="C192" s="2" t="s">
        <v>854</v>
      </c>
      <c r="D192" s="2" t="s">
        <v>697</v>
      </c>
      <c r="H192" s="138">
        <v>205</v>
      </c>
      <c r="J192" s="5" t="s">
        <v>323</v>
      </c>
      <c r="K192" s="130" t="s">
        <v>328</v>
      </c>
      <c r="L192" s="5"/>
      <c r="M192" s="5" t="s">
        <v>807</v>
      </c>
    </row>
    <row r="193" spans="1:14" ht="25.5" hidden="1" customHeight="1">
      <c r="A193" s="2" t="s">
        <v>182</v>
      </c>
      <c r="B193" s="2" t="s">
        <v>332</v>
      </c>
      <c r="C193" s="2" t="s">
        <v>855</v>
      </c>
      <c r="D193" s="2" t="s">
        <v>701</v>
      </c>
      <c r="H193" s="138">
        <f>H191-H192</f>
        <v>47</v>
      </c>
      <c r="J193" s="5" t="s">
        <v>323</v>
      </c>
      <c r="K193" s="130" t="s">
        <v>328</v>
      </c>
      <c r="L193" s="5"/>
      <c r="M193" s="5" t="s">
        <v>807</v>
      </c>
    </row>
    <row r="194" spans="1:14" ht="25.5" hidden="1" customHeight="1">
      <c r="A194" s="2" t="s">
        <v>182</v>
      </c>
      <c r="B194" s="2" t="s">
        <v>332</v>
      </c>
      <c r="C194" s="2" t="s">
        <v>856</v>
      </c>
      <c r="D194" s="2" t="s">
        <v>703</v>
      </c>
      <c r="I194" s="138"/>
      <c r="J194" s="5" t="s">
        <v>323</v>
      </c>
      <c r="K194" s="130" t="s">
        <v>330</v>
      </c>
      <c r="L194" s="5"/>
      <c r="N194" s="11" t="s">
        <v>857</v>
      </c>
    </row>
    <row r="195" spans="1:14" ht="15" hidden="1" customHeight="1">
      <c r="A195" s="2" t="s">
        <v>182</v>
      </c>
      <c r="B195" s="2" t="s">
        <v>332</v>
      </c>
      <c r="C195" s="2" t="s">
        <v>858</v>
      </c>
      <c r="D195" s="2" t="s">
        <v>706</v>
      </c>
      <c r="H195" s="138">
        <v>48</v>
      </c>
      <c r="J195" s="5" t="s">
        <v>323</v>
      </c>
      <c r="K195" s="130" t="s">
        <v>328</v>
      </c>
      <c r="L195" s="5"/>
      <c r="M195" s="5" t="s">
        <v>859</v>
      </c>
    </row>
    <row r="196" spans="1:14" ht="25.5" hidden="1" customHeight="1">
      <c r="A196" s="2" t="s">
        <v>182</v>
      </c>
      <c r="B196" s="2" t="s">
        <v>332</v>
      </c>
      <c r="C196" s="2" t="s">
        <v>860</v>
      </c>
      <c r="D196" s="2" t="s">
        <v>709</v>
      </c>
      <c r="H196" s="138">
        <v>66</v>
      </c>
      <c r="J196" s="5" t="s">
        <v>323</v>
      </c>
      <c r="K196" s="130" t="s">
        <v>328</v>
      </c>
      <c r="L196" s="5"/>
      <c r="M196" s="5" t="s">
        <v>861</v>
      </c>
    </row>
    <row r="197" spans="1:14" ht="15" hidden="1" customHeight="1">
      <c r="A197" s="2" t="s">
        <v>182</v>
      </c>
      <c r="B197" s="2" t="s">
        <v>332</v>
      </c>
      <c r="C197" s="2" t="s">
        <v>862</v>
      </c>
      <c r="D197" s="2" t="s">
        <v>863</v>
      </c>
      <c r="H197" s="138">
        <v>36</v>
      </c>
      <c r="J197" s="5" t="s">
        <v>323</v>
      </c>
      <c r="K197" s="130" t="s">
        <v>328</v>
      </c>
      <c r="L197" s="5"/>
      <c r="M197" s="5" t="s">
        <v>807</v>
      </c>
    </row>
    <row r="198" spans="1:14" ht="15" hidden="1" customHeight="1">
      <c r="A198" s="2" t="s">
        <v>182</v>
      </c>
      <c r="B198" s="2" t="s">
        <v>332</v>
      </c>
      <c r="C198" s="2" t="s">
        <v>864</v>
      </c>
      <c r="D198" s="2" t="s">
        <v>714</v>
      </c>
      <c r="H198" s="138">
        <v>96</v>
      </c>
      <c r="J198" s="5" t="s">
        <v>323</v>
      </c>
      <c r="K198" s="130" t="s">
        <v>328</v>
      </c>
      <c r="L198" s="5"/>
      <c r="M198" s="5" t="s">
        <v>865</v>
      </c>
    </row>
    <row r="199" spans="1:14" ht="15" hidden="1" customHeight="1">
      <c r="A199" s="2" t="s">
        <v>182</v>
      </c>
      <c r="B199" s="2" t="s">
        <v>332</v>
      </c>
      <c r="C199" s="2" t="s">
        <v>866</v>
      </c>
      <c r="D199" s="2" t="s">
        <v>717</v>
      </c>
      <c r="H199" s="138">
        <v>433</v>
      </c>
      <c r="J199" s="5" t="s">
        <v>323</v>
      </c>
      <c r="K199" s="130" t="s">
        <v>328</v>
      </c>
      <c r="L199" s="5"/>
      <c r="M199" s="5" t="s">
        <v>784</v>
      </c>
    </row>
    <row r="200" spans="1:14" ht="25.5" hidden="1" customHeight="1">
      <c r="A200" s="2" t="s">
        <v>182</v>
      </c>
      <c r="B200" s="2" t="s">
        <v>332</v>
      </c>
      <c r="C200" s="2" t="s">
        <v>867</v>
      </c>
      <c r="D200" s="2" t="s">
        <v>720</v>
      </c>
      <c r="H200" s="138">
        <v>1243</v>
      </c>
      <c r="I200" s="138"/>
      <c r="J200" s="5" t="s">
        <v>323</v>
      </c>
      <c r="K200" s="130" t="s">
        <v>328</v>
      </c>
      <c r="L200" s="5" t="s">
        <v>868</v>
      </c>
    </row>
    <row r="201" spans="1:14" ht="15" hidden="1" customHeight="1">
      <c r="A201" s="2" t="s">
        <v>182</v>
      </c>
      <c r="B201" s="2" t="s">
        <v>332</v>
      </c>
      <c r="C201" s="2" t="s">
        <v>869</v>
      </c>
      <c r="D201" s="2" t="s">
        <v>723</v>
      </c>
      <c r="H201" s="138">
        <v>32</v>
      </c>
      <c r="I201" s="138"/>
      <c r="J201" s="5" t="s">
        <v>323</v>
      </c>
      <c r="K201" s="130" t="s">
        <v>328</v>
      </c>
      <c r="L201" s="5"/>
    </row>
    <row r="202" spans="1:14" ht="15" hidden="1" customHeight="1">
      <c r="A202" s="2" t="s">
        <v>182</v>
      </c>
      <c r="B202" s="2" t="s">
        <v>332</v>
      </c>
      <c r="C202" s="2" t="s">
        <v>870</v>
      </c>
      <c r="D202" s="2" t="s">
        <v>731</v>
      </c>
      <c r="H202" s="138">
        <v>355</v>
      </c>
      <c r="I202" s="138"/>
      <c r="J202" s="5" t="s">
        <v>323</v>
      </c>
      <c r="K202" s="130" t="s">
        <v>328</v>
      </c>
      <c r="L202" s="5"/>
    </row>
    <row r="203" spans="1:14" ht="63.75" hidden="1" customHeight="1">
      <c r="A203" s="2" t="s">
        <v>182</v>
      </c>
      <c r="B203" s="2" t="s">
        <v>332</v>
      </c>
      <c r="C203" s="2" t="s">
        <v>871</v>
      </c>
      <c r="D203" s="2" t="s">
        <v>733</v>
      </c>
      <c r="I203" s="138"/>
      <c r="J203" s="5" t="s">
        <v>322</v>
      </c>
      <c r="K203" s="130" t="s">
        <v>329</v>
      </c>
      <c r="L203" s="5" t="s">
        <v>872</v>
      </c>
    </row>
    <row r="204" spans="1:14" ht="15" hidden="1" customHeight="1">
      <c r="A204" s="2" t="s">
        <v>182</v>
      </c>
      <c r="B204" s="2" t="s">
        <v>332</v>
      </c>
      <c r="C204" s="2" t="s">
        <v>873</v>
      </c>
      <c r="D204" s="2" t="s">
        <v>736</v>
      </c>
      <c r="H204" s="138">
        <v>883</v>
      </c>
      <c r="I204" s="138"/>
      <c r="J204" s="5" t="s">
        <v>323</v>
      </c>
      <c r="K204" s="130" t="s">
        <v>328</v>
      </c>
      <c r="L204" s="5"/>
    </row>
    <row r="205" spans="1:14" ht="15" hidden="1" customHeight="1">
      <c r="A205" s="2" t="s">
        <v>182</v>
      </c>
      <c r="B205" s="2" t="s">
        <v>332</v>
      </c>
      <c r="C205" s="2" t="s">
        <v>874</v>
      </c>
      <c r="D205" s="14" t="s">
        <v>94</v>
      </c>
      <c r="I205" s="138"/>
      <c r="J205" s="5" t="s">
        <v>323</v>
      </c>
      <c r="K205" s="130" t="s">
        <v>329</v>
      </c>
      <c r="L205" s="5"/>
    </row>
    <row r="206" spans="1:14" ht="15" hidden="1" customHeight="1">
      <c r="A206" s="2" t="s">
        <v>182</v>
      </c>
      <c r="B206" s="2" t="s">
        <v>332</v>
      </c>
      <c r="C206" s="2" t="s">
        <v>875</v>
      </c>
      <c r="D206" s="14" t="s">
        <v>739</v>
      </c>
      <c r="I206" s="138"/>
      <c r="J206" s="5" t="s">
        <v>323</v>
      </c>
      <c r="K206" s="130" t="s">
        <v>329</v>
      </c>
      <c r="L206" s="5"/>
    </row>
    <row r="207" spans="1:14" ht="15" hidden="1" customHeight="1">
      <c r="A207" s="2" t="s">
        <v>182</v>
      </c>
      <c r="B207" s="2" t="s">
        <v>332</v>
      </c>
      <c r="C207" s="2" t="s">
        <v>876</v>
      </c>
      <c r="D207" s="14" t="s">
        <v>96</v>
      </c>
      <c r="I207" s="138"/>
      <c r="J207" s="5" t="s">
        <v>323</v>
      </c>
      <c r="K207" s="130" t="s">
        <v>329</v>
      </c>
      <c r="L207" s="5"/>
    </row>
    <row r="208" spans="1:14" ht="15" hidden="1" customHeight="1">
      <c r="A208" s="2" t="s">
        <v>182</v>
      </c>
      <c r="B208" s="2" t="s">
        <v>332</v>
      </c>
      <c r="C208" s="2" t="s">
        <v>877</v>
      </c>
      <c r="D208" s="14" t="s">
        <v>878</v>
      </c>
      <c r="I208" s="138"/>
      <c r="J208" s="5" t="s">
        <v>323</v>
      </c>
      <c r="K208" s="130" t="s">
        <v>329</v>
      </c>
      <c r="L208" s="5"/>
    </row>
    <row r="209" spans="1:16" ht="15" hidden="1" customHeight="1">
      <c r="A209" s="2" t="s">
        <v>182</v>
      </c>
      <c r="B209" s="2" t="s">
        <v>332</v>
      </c>
      <c r="C209" s="2" t="s">
        <v>879</v>
      </c>
      <c r="D209" s="14" t="s">
        <v>744</v>
      </c>
      <c r="I209" s="138"/>
      <c r="J209" s="5" t="s">
        <v>323</v>
      </c>
      <c r="K209" s="130" t="s">
        <v>329</v>
      </c>
      <c r="L209" s="5"/>
    </row>
    <row r="210" spans="1:16" ht="15" hidden="1" customHeight="1">
      <c r="A210" s="2" t="s">
        <v>182</v>
      </c>
      <c r="B210" s="2" t="s">
        <v>332</v>
      </c>
      <c r="C210" s="2" t="s">
        <v>880</v>
      </c>
      <c r="D210" s="14" t="s">
        <v>746</v>
      </c>
      <c r="I210" s="138"/>
      <c r="J210" s="5" t="s">
        <v>323</v>
      </c>
      <c r="K210" s="130" t="s">
        <v>329</v>
      </c>
      <c r="L210" s="5"/>
    </row>
    <row r="211" spans="1:16" ht="15" hidden="1" customHeight="1">
      <c r="A211" s="2" t="s">
        <v>182</v>
      </c>
      <c r="B211" s="2" t="s">
        <v>332</v>
      </c>
      <c r="C211" s="2" t="s">
        <v>881</v>
      </c>
      <c r="D211" s="2" t="s">
        <v>34</v>
      </c>
      <c r="H211" s="138">
        <v>1235</v>
      </c>
      <c r="J211" s="5" t="s">
        <v>323</v>
      </c>
      <c r="K211" s="130" t="s">
        <v>328</v>
      </c>
      <c r="L211" s="5"/>
      <c r="M211" s="5" t="s">
        <v>478</v>
      </c>
    </row>
    <row r="212" spans="1:16" ht="15" hidden="1" customHeight="1">
      <c r="A212" s="2" t="s">
        <v>182</v>
      </c>
      <c r="B212" s="2" t="s">
        <v>332</v>
      </c>
      <c r="C212" s="2" t="s">
        <v>882</v>
      </c>
      <c r="D212" s="2" t="s">
        <v>35</v>
      </c>
      <c r="H212" s="138">
        <v>23</v>
      </c>
      <c r="J212" s="5" t="s">
        <v>323</v>
      </c>
      <c r="K212" s="130" t="s">
        <v>328</v>
      </c>
      <c r="L212" s="5"/>
      <c r="M212" s="5" t="s">
        <v>490</v>
      </c>
    </row>
    <row r="213" spans="1:16" ht="15" hidden="1" customHeight="1">
      <c r="A213" s="2" t="s">
        <v>182</v>
      </c>
      <c r="B213" s="2" t="s">
        <v>332</v>
      </c>
      <c r="C213" s="2" t="s">
        <v>883</v>
      </c>
      <c r="D213" s="2" t="s">
        <v>545</v>
      </c>
      <c r="H213" s="138">
        <v>481</v>
      </c>
      <c r="I213" s="138"/>
      <c r="J213" s="5" t="s">
        <v>323</v>
      </c>
      <c r="K213" s="130" t="s">
        <v>328</v>
      </c>
      <c r="L213" s="5"/>
    </row>
    <row r="214" spans="1:16" ht="15" hidden="1" customHeight="1">
      <c r="A214" s="2" t="s">
        <v>182</v>
      </c>
      <c r="B214" s="2" t="s">
        <v>332</v>
      </c>
      <c r="C214" s="2" t="s">
        <v>884</v>
      </c>
      <c r="D214" s="2" t="s">
        <v>548</v>
      </c>
      <c r="H214" s="138">
        <v>445</v>
      </c>
      <c r="J214" s="5" t="s">
        <v>323</v>
      </c>
      <c r="K214" s="130" t="s">
        <v>328</v>
      </c>
      <c r="L214" s="5"/>
      <c r="M214" s="5" t="s">
        <v>546</v>
      </c>
    </row>
    <row r="215" spans="1:16" ht="15" hidden="1" customHeight="1">
      <c r="A215" s="2" t="s">
        <v>182</v>
      </c>
      <c r="B215" s="2" t="s">
        <v>332</v>
      </c>
      <c r="C215" s="2" t="s">
        <v>885</v>
      </c>
      <c r="D215" s="2" t="s">
        <v>36</v>
      </c>
      <c r="H215" s="138">
        <v>23</v>
      </c>
      <c r="J215" s="5" t="s">
        <v>323</v>
      </c>
      <c r="K215" s="130" t="s">
        <v>328</v>
      </c>
      <c r="L215" s="5"/>
      <c r="M215" s="5" t="s">
        <v>551</v>
      </c>
    </row>
    <row r="216" spans="1:16" ht="15" hidden="1" customHeight="1">
      <c r="A216" s="2" t="s">
        <v>182</v>
      </c>
      <c r="B216" s="2" t="s">
        <v>332</v>
      </c>
      <c r="C216" s="2" t="s">
        <v>886</v>
      </c>
      <c r="D216" s="2" t="s">
        <v>554</v>
      </c>
      <c r="H216" s="138">
        <v>22</v>
      </c>
      <c r="J216" s="5" t="s">
        <v>323</v>
      </c>
      <c r="K216" s="130" t="s">
        <v>328</v>
      </c>
      <c r="L216" s="5"/>
      <c r="M216" s="5" t="s">
        <v>478</v>
      </c>
    </row>
    <row r="217" spans="1:16" ht="15" hidden="1" customHeight="1">
      <c r="A217" s="2" t="s">
        <v>182</v>
      </c>
      <c r="B217" s="2" t="s">
        <v>332</v>
      </c>
      <c r="C217" s="2" t="s">
        <v>887</v>
      </c>
      <c r="D217" s="2" t="s">
        <v>556</v>
      </c>
      <c r="H217" s="138">
        <v>46</v>
      </c>
      <c r="J217" s="5" t="s">
        <v>323</v>
      </c>
      <c r="K217" s="130" t="s">
        <v>328</v>
      </c>
      <c r="L217" s="5"/>
      <c r="M217" s="5" t="s">
        <v>551</v>
      </c>
      <c r="N217" s="11" t="s">
        <v>888</v>
      </c>
    </row>
    <row r="218" spans="1:16" ht="15" hidden="1" customHeight="1">
      <c r="A218" s="2" t="s">
        <v>182</v>
      </c>
      <c r="B218" s="2" t="s">
        <v>332</v>
      </c>
      <c r="C218" s="2" t="s">
        <v>889</v>
      </c>
      <c r="D218" s="2" t="s">
        <v>192</v>
      </c>
      <c r="H218" s="138">
        <v>4980</v>
      </c>
      <c r="J218" s="5" t="s">
        <v>323</v>
      </c>
      <c r="K218" s="130" t="s">
        <v>328</v>
      </c>
      <c r="L218" s="5"/>
      <c r="M218" s="5" t="s">
        <v>478</v>
      </c>
    </row>
    <row r="219" spans="1:16" ht="15" hidden="1" customHeight="1">
      <c r="A219" s="2" t="s">
        <v>182</v>
      </c>
      <c r="B219" s="2" t="s">
        <v>332</v>
      </c>
      <c r="C219" s="2" t="s">
        <v>890</v>
      </c>
      <c r="D219" s="2" t="s">
        <v>56</v>
      </c>
      <c r="H219" s="138">
        <v>496</v>
      </c>
      <c r="J219" s="5" t="s">
        <v>323</v>
      </c>
      <c r="K219" s="130" t="s">
        <v>328</v>
      </c>
      <c r="L219" s="5"/>
      <c r="M219" s="5" t="s">
        <v>478</v>
      </c>
    </row>
    <row r="220" spans="1:16" ht="15" hidden="1" customHeight="1">
      <c r="A220" s="2" t="s">
        <v>182</v>
      </c>
      <c r="B220" s="2" t="s">
        <v>332</v>
      </c>
      <c r="C220" s="2" t="s">
        <v>891</v>
      </c>
      <c r="D220" s="2" t="s">
        <v>562</v>
      </c>
      <c r="I220" s="138"/>
      <c r="J220" s="5" t="s">
        <v>323</v>
      </c>
      <c r="K220" s="130" t="s">
        <v>330</v>
      </c>
      <c r="L220" s="5"/>
      <c r="N220" s="11" t="s">
        <v>892</v>
      </c>
    </row>
    <row r="221" spans="1:16" ht="15" hidden="1" customHeight="1">
      <c r="A221" s="2" t="s">
        <v>182</v>
      </c>
      <c r="B221" s="2" t="s">
        <v>332</v>
      </c>
      <c r="C221" s="2" t="s">
        <v>893</v>
      </c>
      <c r="D221" s="2" t="s">
        <v>565</v>
      </c>
      <c r="I221" s="138"/>
      <c r="J221" s="5" t="s">
        <v>323</v>
      </c>
      <c r="K221" s="130" t="s">
        <v>329</v>
      </c>
      <c r="L221" s="5"/>
      <c r="N221" s="11" t="s">
        <v>894</v>
      </c>
    </row>
    <row r="222" spans="1:16" ht="15" hidden="1" customHeight="1">
      <c r="A222" s="2" t="s">
        <v>182</v>
      </c>
      <c r="B222" s="2" t="s">
        <v>332</v>
      </c>
      <c r="C222" s="2" t="s">
        <v>895</v>
      </c>
      <c r="D222" s="2" t="s">
        <v>59</v>
      </c>
      <c r="H222" s="138">
        <v>0</v>
      </c>
      <c r="I222" s="138"/>
      <c r="J222" s="5" t="s">
        <v>323</v>
      </c>
      <c r="K222" s="130" t="s">
        <v>328</v>
      </c>
      <c r="L222" s="5"/>
      <c r="N222" s="11" t="s">
        <v>892</v>
      </c>
    </row>
    <row r="223" spans="1:16" ht="15" hidden="1" customHeight="1">
      <c r="A223" s="2" t="s">
        <v>182</v>
      </c>
      <c r="B223" s="2" t="s">
        <v>896</v>
      </c>
      <c r="C223" s="2" t="s">
        <v>897</v>
      </c>
      <c r="D223" s="2" t="s">
        <v>367</v>
      </c>
      <c r="I223" s="138"/>
      <c r="J223" s="5" t="s">
        <v>323</v>
      </c>
      <c r="K223" s="130" t="s">
        <v>330</v>
      </c>
      <c r="L223" s="5"/>
    </row>
    <row r="224" spans="1:16" ht="45" hidden="1" customHeight="1">
      <c r="A224" s="2" t="s">
        <v>182</v>
      </c>
      <c r="B224" s="2" t="s">
        <v>896</v>
      </c>
      <c r="C224" s="2" t="s">
        <v>898</v>
      </c>
      <c r="D224" s="2" t="s">
        <v>372</v>
      </c>
      <c r="F224" s="129">
        <v>1</v>
      </c>
      <c r="G224" s="138">
        <v>15019</v>
      </c>
      <c r="H224" s="138">
        <v>15398</v>
      </c>
      <c r="I224" s="140">
        <f>(G224-H224)/G224</f>
        <v>-2.5234702709900792E-2</v>
      </c>
      <c r="J224" s="5" t="s">
        <v>320</v>
      </c>
      <c r="K224" s="130" t="s">
        <v>328</v>
      </c>
      <c r="L224" s="5"/>
      <c r="M224" s="5" t="s">
        <v>807</v>
      </c>
      <c r="N224" s="36" t="s">
        <v>899</v>
      </c>
      <c r="O224" s="11" t="s">
        <v>900</v>
      </c>
      <c r="P224" s="11" t="s">
        <v>901</v>
      </c>
    </row>
    <row r="225" spans="1:16" ht="15" hidden="1" customHeight="1">
      <c r="A225" s="2" t="s">
        <v>182</v>
      </c>
      <c r="B225" s="2" t="s">
        <v>896</v>
      </c>
      <c r="C225" s="2" t="s">
        <v>902</v>
      </c>
      <c r="D225" s="2" t="s">
        <v>378</v>
      </c>
      <c r="I225" s="138"/>
      <c r="J225" s="5" t="s">
        <v>323</v>
      </c>
      <c r="K225" s="130" t="s">
        <v>329</v>
      </c>
      <c r="L225" s="5" t="s">
        <v>380</v>
      </c>
      <c r="M225" s="5" t="s">
        <v>380</v>
      </c>
      <c r="O225" t="s">
        <v>479</v>
      </c>
    </row>
    <row r="226" spans="1:16" ht="15" hidden="1" customHeight="1">
      <c r="A226" s="2" t="s">
        <v>182</v>
      </c>
      <c r="B226" s="2" t="s">
        <v>896</v>
      </c>
      <c r="C226" s="2" t="s">
        <v>903</v>
      </c>
      <c r="D226" s="2" t="s">
        <v>17</v>
      </c>
      <c r="F226" s="129">
        <v>1</v>
      </c>
      <c r="H226" s="138">
        <v>5</v>
      </c>
      <c r="J226" s="5" t="s">
        <v>323</v>
      </c>
      <c r="K226" s="130" t="s">
        <v>328</v>
      </c>
      <c r="L226" s="5" t="s">
        <v>904</v>
      </c>
      <c r="M226" s="5" t="s">
        <v>385</v>
      </c>
      <c r="O226" t="s">
        <v>479</v>
      </c>
    </row>
    <row r="227" spans="1:16" ht="25.5" hidden="1" customHeight="1">
      <c r="A227" s="2" t="s">
        <v>182</v>
      </c>
      <c r="B227" s="2" t="s">
        <v>896</v>
      </c>
      <c r="C227" s="2" t="s">
        <v>905</v>
      </c>
      <c r="D227" s="2" t="s">
        <v>906</v>
      </c>
      <c r="I227" s="138"/>
      <c r="J227" s="5" t="s">
        <v>323</v>
      </c>
      <c r="K227" s="130" t="s">
        <v>328</v>
      </c>
      <c r="L227" s="5"/>
      <c r="M227" s="5" t="s">
        <v>907</v>
      </c>
      <c r="O227"/>
    </row>
    <row r="228" spans="1:16" ht="30" hidden="1" customHeight="1">
      <c r="A228" s="2" t="s">
        <v>182</v>
      </c>
      <c r="B228" s="2" t="s">
        <v>896</v>
      </c>
      <c r="C228" s="2" t="s">
        <v>908</v>
      </c>
      <c r="D228" s="2" t="s">
        <v>383</v>
      </c>
      <c r="F228" s="129">
        <v>1</v>
      </c>
      <c r="G228" s="138">
        <v>921</v>
      </c>
      <c r="H228" s="138">
        <v>924</v>
      </c>
      <c r="I228" s="140">
        <f>(G228-H228)/G228</f>
        <v>-3.2573289902280132E-3</v>
      </c>
      <c r="J228" s="5" t="s">
        <v>321</v>
      </c>
      <c r="K228" s="130" t="s">
        <v>328</v>
      </c>
      <c r="L228" s="5"/>
      <c r="M228" s="5" t="s">
        <v>385</v>
      </c>
      <c r="N228" s="36" t="s">
        <v>909</v>
      </c>
      <c r="O228" s="11" t="s">
        <v>435</v>
      </c>
      <c r="P228" s="42" t="s">
        <v>910</v>
      </c>
    </row>
    <row r="229" spans="1:16" ht="15" hidden="1" customHeight="1">
      <c r="A229" s="2" t="s">
        <v>182</v>
      </c>
      <c r="B229" s="2" t="s">
        <v>896</v>
      </c>
      <c r="C229" s="2" t="s">
        <v>911</v>
      </c>
      <c r="D229" s="2" t="s">
        <v>394</v>
      </c>
      <c r="F229" s="129">
        <v>1</v>
      </c>
      <c r="H229" s="138">
        <v>123</v>
      </c>
      <c r="J229" s="5" t="s">
        <v>323</v>
      </c>
      <c r="K229" s="130" t="s">
        <v>328</v>
      </c>
      <c r="L229" s="5" t="s">
        <v>904</v>
      </c>
      <c r="M229" s="5" t="s">
        <v>385</v>
      </c>
      <c r="O229" t="s">
        <v>479</v>
      </c>
    </row>
    <row r="230" spans="1:16" ht="15" hidden="1" customHeight="1">
      <c r="A230" s="2" t="s">
        <v>182</v>
      </c>
      <c r="B230" s="2" t="s">
        <v>896</v>
      </c>
      <c r="C230" s="2" t="s">
        <v>912</v>
      </c>
      <c r="D230" s="2" t="s">
        <v>14</v>
      </c>
      <c r="F230" s="129">
        <v>1</v>
      </c>
      <c r="H230" s="138">
        <v>8798</v>
      </c>
      <c r="J230" s="5" t="s">
        <v>323</v>
      </c>
      <c r="K230" s="130" t="s">
        <v>328</v>
      </c>
      <c r="L230" s="5" t="s">
        <v>904</v>
      </c>
      <c r="M230" s="5" t="s">
        <v>807</v>
      </c>
      <c r="O230" t="s">
        <v>479</v>
      </c>
    </row>
    <row r="231" spans="1:16" ht="15" hidden="1" customHeight="1">
      <c r="A231" s="2" t="s">
        <v>182</v>
      </c>
      <c r="B231" s="2" t="s">
        <v>896</v>
      </c>
      <c r="C231" s="2" t="s">
        <v>913</v>
      </c>
      <c r="D231" s="2" t="s">
        <v>400</v>
      </c>
      <c r="H231" s="138">
        <v>4100</v>
      </c>
      <c r="J231" s="5" t="s">
        <v>323</v>
      </c>
      <c r="K231" s="130" t="s">
        <v>328</v>
      </c>
      <c r="L231" s="5"/>
      <c r="M231" s="5" t="s">
        <v>807</v>
      </c>
    </row>
    <row r="232" spans="1:16" ht="15" hidden="1" customHeight="1">
      <c r="A232" s="2" t="s">
        <v>182</v>
      </c>
      <c r="B232" s="2" t="s">
        <v>896</v>
      </c>
      <c r="C232" s="2" t="s">
        <v>914</v>
      </c>
      <c r="D232" s="2" t="s">
        <v>915</v>
      </c>
      <c r="H232" s="138">
        <v>2814</v>
      </c>
      <c r="J232" s="5" t="s">
        <v>323</v>
      </c>
      <c r="K232" s="130" t="s">
        <v>328</v>
      </c>
      <c r="L232" s="5"/>
      <c r="M232" s="5" t="s">
        <v>546</v>
      </c>
      <c r="N232" s="11" t="s">
        <v>916</v>
      </c>
    </row>
    <row r="233" spans="1:16" ht="15" hidden="1" customHeight="1">
      <c r="A233" s="2" t="s">
        <v>182</v>
      </c>
      <c r="B233" s="2" t="s">
        <v>896</v>
      </c>
      <c r="C233" s="2" t="s">
        <v>917</v>
      </c>
      <c r="D233" s="2" t="s">
        <v>412</v>
      </c>
      <c r="H233" s="138">
        <v>8452</v>
      </c>
      <c r="J233" s="5" t="s">
        <v>323</v>
      </c>
      <c r="K233" s="130" t="s">
        <v>328</v>
      </c>
      <c r="L233" s="5"/>
      <c r="M233" s="5" t="s">
        <v>807</v>
      </c>
    </row>
    <row r="234" spans="1:16" ht="15" hidden="1" customHeight="1">
      <c r="A234" s="2" t="s">
        <v>182</v>
      </c>
      <c r="B234" s="2" t="s">
        <v>896</v>
      </c>
      <c r="C234" s="2" t="s">
        <v>918</v>
      </c>
      <c r="D234" s="2" t="s">
        <v>417</v>
      </c>
      <c r="I234" s="138"/>
      <c r="J234" s="5" t="s">
        <v>323</v>
      </c>
      <c r="K234" s="130" t="s">
        <v>329</v>
      </c>
      <c r="L234" s="5"/>
      <c r="M234" s="5" t="s">
        <v>807</v>
      </c>
      <c r="N234" s="11" t="s">
        <v>919</v>
      </c>
    </row>
    <row r="235" spans="1:16" ht="15" hidden="1" customHeight="1">
      <c r="A235" s="2" t="s">
        <v>182</v>
      </c>
      <c r="B235" s="2" t="s">
        <v>896</v>
      </c>
      <c r="C235" s="2" t="s">
        <v>920</v>
      </c>
      <c r="D235" s="2" t="s">
        <v>921</v>
      </c>
      <c r="I235" s="138"/>
      <c r="J235" s="5" t="s">
        <v>323</v>
      </c>
      <c r="K235" s="130" t="s">
        <v>329</v>
      </c>
      <c r="L235" s="5"/>
      <c r="M235" s="5" t="s">
        <v>807</v>
      </c>
      <c r="N235" s="11" t="s">
        <v>919</v>
      </c>
    </row>
    <row r="236" spans="1:16" ht="15" hidden="1" customHeight="1">
      <c r="A236" s="2" t="s">
        <v>182</v>
      </c>
      <c r="B236" s="2" t="s">
        <v>896</v>
      </c>
      <c r="C236" s="2" t="s">
        <v>922</v>
      </c>
      <c r="D236" s="2" t="s">
        <v>414</v>
      </c>
      <c r="H236" s="138">
        <v>3531</v>
      </c>
      <c r="I236" s="138"/>
      <c r="J236" s="5" t="s">
        <v>323</v>
      </c>
      <c r="K236" s="130" t="s">
        <v>328</v>
      </c>
      <c r="L236" s="5"/>
      <c r="M236" s="5" t="s">
        <v>807</v>
      </c>
      <c r="N236" s="11" t="s">
        <v>923</v>
      </c>
    </row>
    <row r="237" spans="1:16" ht="30" hidden="1" customHeight="1">
      <c r="A237" s="2" t="s">
        <v>182</v>
      </c>
      <c r="B237" s="2" t="s">
        <v>896</v>
      </c>
      <c r="C237" s="2" t="s">
        <v>924</v>
      </c>
      <c r="D237" s="19" t="s">
        <v>427</v>
      </c>
      <c r="E237" s="20"/>
      <c r="F237" s="129">
        <v>1</v>
      </c>
      <c r="G237" s="138">
        <v>632</v>
      </c>
      <c r="H237" s="138">
        <v>637</v>
      </c>
      <c r="I237" s="140">
        <f>(G237-H237)/G237</f>
        <v>-7.9113924050632917E-3</v>
      </c>
      <c r="J237" s="5" t="s">
        <v>321</v>
      </c>
      <c r="K237" s="130" t="s">
        <v>328</v>
      </c>
      <c r="L237" s="5"/>
      <c r="M237" s="5" t="s">
        <v>925</v>
      </c>
      <c r="N237" s="41" t="s">
        <v>926</v>
      </c>
      <c r="O237" s="11" t="s">
        <v>376</v>
      </c>
    </row>
    <row r="238" spans="1:16" ht="15" hidden="1" customHeight="1">
      <c r="A238" s="2" t="s">
        <v>182</v>
      </c>
      <c r="B238" s="2" t="s">
        <v>896</v>
      </c>
      <c r="C238" s="2" t="s">
        <v>927</v>
      </c>
      <c r="D238" s="19" t="s">
        <v>431</v>
      </c>
      <c r="E238" s="20"/>
      <c r="F238" s="129">
        <v>1</v>
      </c>
      <c r="G238" s="138">
        <v>466</v>
      </c>
      <c r="H238" s="138">
        <v>466</v>
      </c>
      <c r="I238" s="140">
        <f t="shared" ref="I238" si="1">(G238-H238)/G238</f>
        <v>0</v>
      </c>
      <c r="J238" s="5" t="s">
        <v>320</v>
      </c>
      <c r="K238" s="130" t="s">
        <v>328</v>
      </c>
      <c r="L238" s="5"/>
      <c r="M238" s="5" t="s">
        <v>718</v>
      </c>
      <c r="N238" s="193" t="s">
        <v>928</v>
      </c>
      <c r="O238" s="11" t="s">
        <v>435</v>
      </c>
    </row>
    <row r="239" spans="1:16" ht="25.5" hidden="1" customHeight="1">
      <c r="A239" s="2" t="s">
        <v>182</v>
      </c>
      <c r="B239" s="2" t="s">
        <v>896</v>
      </c>
      <c r="C239" s="2" t="s">
        <v>929</v>
      </c>
      <c r="D239" s="19" t="s">
        <v>437</v>
      </c>
      <c r="E239" s="20">
        <v>1</v>
      </c>
      <c r="F239" s="129">
        <v>1</v>
      </c>
      <c r="G239" s="138">
        <v>23</v>
      </c>
      <c r="H239" s="138">
        <v>23</v>
      </c>
      <c r="J239" s="5" t="s">
        <v>320</v>
      </c>
      <c r="K239" s="130" t="s">
        <v>328</v>
      </c>
      <c r="L239" s="5"/>
      <c r="M239" s="5" t="s">
        <v>930</v>
      </c>
      <c r="N239" s="193"/>
      <c r="O239" s="11" t="s">
        <v>931</v>
      </c>
    </row>
    <row r="240" spans="1:16" ht="25.5" hidden="1" customHeight="1">
      <c r="A240" s="2" t="s">
        <v>182</v>
      </c>
      <c r="B240" s="2" t="s">
        <v>896</v>
      </c>
      <c r="C240" s="2" t="s">
        <v>932</v>
      </c>
      <c r="D240" s="2" t="s">
        <v>28</v>
      </c>
      <c r="F240" s="129">
        <v>1</v>
      </c>
      <c r="H240" s="138">
        <f>H228-(H238+H239)</f>
        <v>435</v>
      </c>
      <c r="I240" s="138"/>
      <c r="J240" s="5" t="s">
        <v>323</v>
      </c>
      <c r="K240" s="130" t="s">
        <v>328</v>
      </c>
      <c r="L240" s="5" t="s">
        <v>904</v>
      </c>
      <c r="M240" s="5" t="s">
        <v>933</v>
      </c>
      <c r="O240" t="s">
        <v>479</v>
      </c>
    </row>
    <row r="241" spans="1:15" ht="30" hidden="1" customHeight="1">
      <c r="A241" s="2" t="s">
        <v>182</v>
      </c>
      <c r="B241" s="2" t="s">
        <v>896</v>
      </c>
      <c r="C241" s="2" t="s">
        <v>934</v>
      </c>
      <c r="D241" s="2" t="s">
        <v>23</v>
      </c>
      <c r="E241">
        <v>1</v>
      </c>
      <c r="H241" s="138">
        <v>644</v>
      </c>
      <c r="J241" s="5" t="s">
        <v>323</v>
      </c>
      <c r="K241" s="130" t="s">
        <v>328</v>
      </c>
      <c r="L241" s="5"/>
      <c r="M241" s="5" t="s">
        <v>718</v>
      </c>
      <c r="O241" s="11" t="s">
        <v>935</v>
      </c>
    </row>
    <row r="242" spans="1:15" ht="15" hidden="1" customHeight="1">
      <c r="A242" s="2" t="s">
        <v>182</v>
      </c>
      <c r="B242" s="2" t="s">
        <v>896</v>
      </c>
      <c r="C242" s="2" t="s">
        <v>936</v>
      </c>
      <c r="D242" s="2" t="s">
        <v>937</v>
      </c>
      <c r="H242" s="138">
        <v>68</v>
      </c>
      <c r="J242" s="5" t="s">
        <v>323</v>
      </c>
      <c r="K242" s="130" t="s">
        <v>328</v>
      </c>
      <c r="L242" s="5"/>
      <c r="M242" s="5" t="s">
        <v>925</v>
      </c>
    </row>
    <row r="243" spans="1:15" ht="15" hidden="1" customHeight="1">
      <c r="A243" s="2" t="s">
        <v>182</v>
      </c>
      <c r="B243" s="2" t="s">
        <v>896</v>
      </c>
      <c r="C243" s="2" t="s">
        <v>938</v>
      </c>
      <c r="D243" s="2" t="s">
        <v>939</v>
      </c>
      <c r="H243" s="138">
        <v>197</v>
      </c>
      <c r="J243" s="5" t="s">
        <v>323</v>
      </c>
      <c r="K243" s="130" t="s">
        <v>328</v>
      </c>
      <c r="L243" s="5"/>
      <c r="M243" s="5" t="s">
        <v>925</v>
      </c>
    </row>
    <row r="244" spans="1:15" ht="25.5" hidden="1" customHeight="1">
      <c r="A244" s="2" t="s">
        <v>182</v>
      </c>
      <c r="B244" s="2" t="s">
        <v>896</v>
      </c>
      <c r="C244" s="2" t="s">
        <v>940</v>
      </c>
      <c r="D244" s="2" t="s">
        <v>460</v>
      </c>
      <c r="I244" s="138"/>
      <c r="J244" s="5" t="s">
        <v>323</v>
      </c>
      <c r="K244" s="130" t="s">
        <v>329</v>
      </c>
      <c r="L244" s="5"/>
    </row>
    <row r="245" spans="1:15" ht="25.5" hidden="1" customHeight="1">
      <c r="A245" s="2" t="s">
        <v>182</v>
      </c>
      <c r="B245" s="2" t="s">
        <v>896</v>
      </c>
      <c r="C245" s="2" t="s">
        <v>941</v>
      </c>
      <c r="D245" s="2" t="s">
        <v>942</v>
      </c>
      <c r="I245" s="138"/>
      <c r="J245" s="5" t="s">
        <v>323</v>
      </c>
      <c r="K245" s="130" t="s">
        <v>329</v>
      </c>
      <c r="L245" s="5"/>
    </row>
    <row r="246" spans="1:15" ht="25.5" hidden="1" customHeight="1">
      <c r="A246" s="2" t="s">
        <v>182</v>
      </c>
      <c r="B246" s="2" t="s">
        <v>896</v>
      </c>
      <c r="C246" s="2" t="s">
        <v>943</v>
      </c>
      <c r="D246" s="2" t="s">
        <v>944</v>
      </c>
      <c r="I246" s="138"/>
      <c r="J246" s="5" t="s">
        <v>323</v>
      </c>
      <c r="K246" s="130" t="s">
        <v>329</v>
      </c>
      <c r="L246" s="5"/>
      <c r="N246" s="11" t="s">
        <v>945</v>
      </c>
    </row>
    <row r="247" spans="1:15" ht="15" hidden="1" customHeight="1">
      <c r="A247" s="2" t="s">
        <v>182</v>
      </c>
      <c r="B247" s="2" t="s">
        <v>896</v>
      </c>
      <c r="C247" s="2" t="s">
        <v>946</v>
      </c>
      <c r="D247" s="2" t="s">
        <v>947</v>
      </c>
      <c r="H247" s="138">
        <v>1053</v>
      </c>
      <c r="J247" s="5" t="s">
        <v>323</v>
      </c>
      <c r="K247" s="130" t="s">
        <v>328</v>
      </c>
      <c r="L247" s="5"/>
      <c r="M247" s="5" t="s">
        <v>478</v>
      </c>
    </row>
    <row r="248" spans="1:15" ht="63.75" hidden="1" customHeight="1">
      <c r="A248" s="2" t="s">
        <v>182</v>
      </c>
      <c r="B248" s="2" t="s">
        <v>896</v>
      </c>
      <c r="C248" s="2" t="s">
        <v>948</v>
      </c>
      <c r="D248" s="2" t="s">
        <v>477</v>
      </c>
      <c r="F248" s="129">
        <v>1</v>
      </c>
      <c r="H248" s="138">
        <v>322</v>
      </c>
      <c r="J248" s="5" t="s">
        <v>323</v>
      </c>
      <c r="K248" s="130" t="s">
        <v>328</v>
      </c>
      <c r="L248" s="5" t="s">
        <v>904</v>
      </c>
      <c r="M248" s="5" t="s">
        <v>478</v>
      </c>
      <c r="N248" s="39" t="s">
        <v>949</v>
      </c>
      <c r="O248" s="11" t="s">
        <v>950</v>
      </c>
    </row>
    <row r="249" spans="1:15" ht="25.5" hidden="1" customHeight="1">
      <c r="A249" s="2" t="s">
        <v>182</v>
      </c>
      <c r="B249" s="2" t="s">
        <v>896</v>
      </c>
      <c r="C249" s="2" t="s">
        <v>951</v>
      </c>
      <c r="D249" s="2" t="s">
        <v>952</v>
      </c>
      <c r="F249" s="129">
        <v>1</v>
      </c>
      <c r="H249" s="138">
        <v>243</v>
      </c>
      <c r="J249" s="5" t="s">
        <v>323</v>
      </c>
      <c r="K249" s="130" t="s">
        <v>328</v>
      </c>
      <c r="L249" s="5" t="s">
        <v>904</v>
      </c>
      <c r="M249" s="5" t="s">
        <v>546</v>
      </c>
      <c r="O249" t="s">
        <v>479</v>
      </c>
    </row>
    <row r="250" spans="1:15" ht="45" hidden="1" customHeight="1">
      <c r="A250" s="2" t="s">
        <v>182</v>
      </c>
      <c r="B250" s="2" t="s">
        <v>896</v>
      </c>
      <c r="C250" s="2" t="s">
        <v>953</v>
      </c>
      <c r="D250" s="2" t="s">
        <v>489</v>
      </c>
      <c r="F250" s="129">
        <v>1</v>
      </c>
      <c r="H250" s="138">
        <v>91</v>
      </c>
      <c r="I250" s="138"/>
      <c r="J250" s="5" t="s">
        <v>323</v>
      </c>
      <c r="K250" s="130" t="s">
        <v>328</v>
      </c>
      <c r="L250" s="5" t="s">
        <v>904</v>
      </c>
      <c r="N250" s="39" t="s">
        <v>954</v>
      </c>
      <c r="O250" s="11" t="s">
        <v>950</v>
      </c>
    </row>
    <row r="251" spans="1:15" ht="25.5" hidden="1" customHeight="1">
      <c r="A251" s="2" t="s">
        <v>182</v>
      </c>
      <c r="B251" s="2" t="s">
        <v>896</v>
      </c>
      <c r="C251" s="2" t="s">
        <v>955</v>
      </c>
      <c r="D251" s="2" t="s">
        <v>956</v>
      </c>
      <c r="H251" s="138">
        <v>131</v>
      </c>
      <c r="J251" s="5" t="s">
        <v>323</v>
      </c>
      <c r="K251" s="130" t="s">
        <v>328</v>
      </c>
      <c r="L251" s="5"/>
      <c r="M251" s="5" t="s">
        <v>546</v>
      </c>
    </row>
    <row r="252" spans="1:15" ht="15" hidden="1" customHeight="1">
      <c r="A252" s="2" t="s">
        <v>182</v>
      </c>
      <c r="B252" s="2" t="s">
        <v>896</v>
      </c>
      <c r="C252" s="2" t="s">
        <v>957</v>
      </c>
      <c r="D252" s="2" t="s">
        <v>192</v>
      </c>
      <c r="H252" s="138">
        <v>1108</v>
      </c>
      <c r="J252" s="5" t="s">
        <v>323</v>
      </c>
      <c r="K252" s="130" t="s">
        <v>328</v>
      </c>
      <c r="L252" s="5"/>
      <c r="M252" s="5" t="s">
        <v>478</v>
      </c>
    </row>
    <row r="253" spans="1:15" ht="15" hidden="1" customHeight="1">
      <c r="A253" s="2" t="s">
        <v>182</v>
      </c>
      <c r="B253" s="2" t="s">
        <v>896</v>
      </c>
      <c r="C253" s="2" t="s">
        <v>958</v>
      </c>
      <c r="D253" s="2" t="s">
        <v>851</v>
      </c>
      <c r="H253" s="138">
        <v>1108</v>
      </c>
      <c r="I253" s="138"/>
      <c r="J253" s="5" t="s">
        <v>323</v>
      </c>
      <c r="K253" s="130" t="s">
        <v>328</v>
      </c>
      <c r="L253" s="5"/>
    </row>
    <row r="254" spans="1:15" ht="15" hidden="1" customHeight="1">
      <c r="A254" s="2" t="s">
        <v>182</v>
      </c>
      <c r="B254" s="2" t="s">
        <v>896</v>
      </c>
      <c r="C254" s="2" t="s">
        <v>959</v>
      </c>
      <c r="D254" s="2" t="s">
        <v>500</v>
      </c>
      <c r="I254" s="138"/>
      <c r="J254" s="5" t="s">
        <v>323</v>
      </c>
      <c r="K254" s="130" t="s">
        <v>329</v>
      </c>
      <c r="L254" s="5"/>
    </row>
    <row r="255" spans="1:15" ht="15" hidden="1" customHeight="1">
      <c r="A255" s="2" t="s">
        <v>182</v>
      </c>
      <c r="B255" s="2" t="s">
        <v>896</v>
      </c>
      <c r="C255" s="2" t="s">
        <v>960</v>
      </c>
      <c r="D255" s="2" t="s">
        <v>192</v>
      </c>
      <c r="H255" s="138">
        <v>1108</v>
      </c>
      <c r="J255" s="5" t="s">
        <v>323</v>
      </c>
      <c r="K255" s="130" t="s">
        <v>328</v>
      </c>
      <c r="L255" s="5"/>
      <c r="M255" s="5" t="s">
        <v>478</v>
      </c>
    </row>
    <row r="256" spans="1:15" ht="15" hidden="1" customHeight="1">
      <c r="A256" s="2" t="s">
        <v>182</v>
      </c>
      <c r="B256" s="2" t="s">
        <v>896</v>
      </c>
      <c r="C256" s="2" t="s">
        <v>961</v>
      </c>
      <c r="D256" s="145" t="s">
        <v>56</v>
      </c>
      <c r="H256" s="138">
        <v>1108</v>
      </c>
      <c r="J256" s="5" t="s">
        <v>323</v>
      </c>
      <c r="K256" s="130" t="s">
        <v>328</v>
      </c>
      <c r="L256" s="5"/>
      <c r="M256" s="5" t="s">
        <v>478</v>
      </c>
    </row>
    <row r="257" spans="1:14" ht="15" hidden="1" customHeight="1">
      <c r="A257" s="2" t="s">
        <v>182</v>
      </c>
      <c r="B257" s="2" t="s">
        <v>896</v>
      </c>
      <c r="C257" s="2" t="s">
        <v>962</v>
      </c>
      <c r="D257" s="2" t="s">
        <v>963</v>
      </c>
      <c r="I257" s="138"/>
      <c r="J257" s="5" t="s">
        <v>323</v>
      </c>
      <c r="K257" s="130" t="s">
        <v>329</v>
      </c>
      <c r="L257" s="5" t="s">
        <v>964</v>
      </c>
    </row>
    <row r="258" spans="1:14" ht="15" hidden="1" customHeight="1">
      <c r="A258" s="2" t="s">
        <v>182</v>
      </c>
      <c r="B258" s="2" t="s">
        <v>896</v>
      </c>
      <c r="C258" s="2" t="s">
        <v>965</v>
      </c>
      <c r="D258" s="2" t="s">
        <v>31</v>
      </c>
      <c r="I258" s="138"/>
      <c r="J258" s="5" t="s">
        <v>323</v>
      </c>
      <c r="K258" s="130" t="s">
        <v>329</v>
      </c>
      <c r="L258" s="5" t="s">
        <v>964</v>
      </c>
    </row>
    <row r="259" spans="1:14" ht="15" hidden="1" customHeight="1">
      <c r="A259" s="2" t="s">
        <v>182</v>
      </c>
      <c r="B259" s="2" t="s">
        <v>896</v>
      </c>
      <c r="C259" s="2" t="s">
        <v>966</v>
      </c>
      <c r="D259" s="2" t="s">
        <v>512</v>
      </c>
      <c r="I259" s="138"/>
      <c r="J259" s="5" t="s">
        <v>323</v>
      </c>
      <c r="K259" s="130" t="s">
        <v>329</v>
      </c>
      <c r="L259" s="5" t="s">
        <v>964</v>
      </c>
    </row>
    <row r="260" spans="1:14" ht="25.5" hidden="1" customHeight="1">
      <c r="A260" s="2" t="s">
        <v>182</v>
      </c>
      <c r="B260" s="2" t="s">
        <v>896</v>
      </c>
      <c r="C260" s="2" t="s">
        <v>967</v>
      </c>
      <c r="D260" s="19" t="s">
        <v>968</v>
      </c>
      <c r="I260" s="138"/>
      <c r="J260" s="5" t="s">
        <v>323</v>
      </c>
      <c r="K260" s="130" t="s">
        <v>329</v>
      </c>
      <c r="L260" s="5" t="s">
        <v>964</v>
      </c>
    </row>
    <row r="261" spans="1:14" ht="15" hidden="1" customHeight="1">
      <c r="A261" s="2" t="s">
        <v>182</v>
      </c>
      <c r="B261" s="2" t="s">
        <v>896</v>
      </c>
      <c r="C261" s="2" t="s">
        <v>969</v>
      </c>
      <c r="D261" s="19" t="s">
        <v>518</v>
      </c>
      <c r="I261" s="138"/>
      <c r="J261" s="5" t="s">
        <v>323</v>
      </c>
      <c r="K261" s="130" t="s">
        <v>329</v>
      </c>
      <c r="L261" s="5" t="s">
        <v>964</v>
      </c>
    </row>
    <row r="262" spans="1:14" ht="25.5" hidden="1" customHeight="1">
      <c r="A262" s="2" t="s">
        <v>182</v>
      </c>
      <c r="B262" s="2" t="s">
        <v>896</v>
      </c>
      <c r="C262" s="2" t="s">
        <v>970</v>
      </c>
      <c r="D262" s="19" t="s">
        <v>520</v>
      </c>
      <c r="I262" s="138"/>
      <c r="J262" s="5" t="s">
        <v>323</v>
      </c>
      <c r="K262" s="130" t="s">
        <v>329</v>
      </c>
      <c r="L262" s="5" t="s">
        <v>964</v>
      </c>
    </row>
    <row r="263" spans="1:14" ht="15" hidden="1" customHeight="1">
      <c r="A263" s="2" t="s">
        <v>182</v>
      </c>
      <c r="B263" s="2" t="s">
        <v>896</v>
      </c>
      <c r="C263" s="2" t="s">
        <v>971</v>
      </c>
      <c r="D263" s="19" t="s">
        <v>522</v>
      </c>
      <c r="I263" s="138"/>
      <c r="J263" s="5" t="s">
        <v>323</v>
      </c>
      <c r="K263" s="130" t="s">
        <v>329</v>
      </c>
      <c r="L263" s="5" t="s">
        <v>964</v>
      </c>
    </row>
    <row r="264" spans="1:14" ht="15" hidden="1" customHeight="1">
      <c r="A264" s="2" t="s">
        <v>182</v>
      </c>
      <c r="B264" s="2" t="s">
        <v>896</v>
      </c>
      <c r="C264" s="2" t="s">
        <v>972</v>
      </c>
      <c r="D264" s="19" t="s">
        <v>524</v>
      </c>
      <c r="I264" s="138"/>
      <c r="J264" s="5" t="s">
        <v>323</v>
      </c>
      <c r="K264" s="130" t="s">
        <v>329</v>
      </c>
      <c r="L264" s="5" t="s">
        <v>964</v>
      </c>
    </row>
    <row r="265" spans="1:14" ht="15" hidden="1" customHeight="1">
      <c r="A265" s="2" t="s">
        <v>182</v>
      </c>
      <c r="B265" s="2" t="s">
        <v>896</v>
      </c>
      <c r="C265" s="2" t="s">
        <v>973</v>
      </c>
      <c r="D265" s="19" t="s">
        <v>526</v>
      </c>
      <c r="I265" s="138"/>
      <c r="J265" s="5" t="s">
        <v>323</v>
      </c>
      <c r="K265" s="130" t="s">
        <v>329</v>
      </c>
      <c r="L265" s="5" t="s">
        <v>964</v>
      </c>
    </row>
    <row r="266" spans="1:14" ht="15" hidden="1" customHeight="1">
      <c r="A266" s="2" t="s">
        <v>182</v>
      </c>
      <c r="B266" s="2" t="s">
        <v>896</v>
      </c>
      <c r="C266" s="2" t="s">
        <v>974</v>
      </c>
      <c r="D266" s="19" t="s">
        <v>528</v>
      </c>
      <c r="I266" s="138"/>
      <c r="J266" s="5" t="s">
        <v>323</v>
      </c>
      <c r="K266" s="130" t="s">
        <v>329</v>
      </c>
      <c r="L266" s="5" t="s">
        <v>964</v>
      </c>
    </row>
    <row r="267" spans="1:14" ht="15" hidden="1" customHeight="1">
      <c r="A267" s="2" t="s">
        <v>182</v>
      </c>
      <c r="B267" s="2" t="s">
        <v>896</v>
      </c>
      <c r="C267" s="2" t="s">
        <v>975</v>
      </c>
      <c r="D267" s="2" t="s">
        <v>34</v>
      </c>
      <c r="H267" s="138">
        <v>322</v>
      </c>
      <c r="I267" s="138"/>
      <c r="J267" s="5" t="s">
        <v>323</v>
      </c>
      <c r="K267" s="130" t="s">
        <v>328</v>
      </c>
      <c r="L267" s="5"/>
      <c r="M267" s="5" t="s">
        <v>546</v>
      </c>
    </row>
    <row r="268" spans="1:14" ht="15" hidden="1" customHeight="1">
      <c r="A268" s="2" t="s">
        <v>182</v>
      </c>
      <c r="B268" s="2" t="s">
        <v>896</v>
      </c>
      <c r="C268" s="2" t="s">
        <v>976</v>
      </c>
      <c r="D268" s="2" t="s">
        <v>35</v>
      </c>
      <c r="H268" s="138">
        <v>91</v>
      </c>
      <c r="I268" s="138"/>
      <c r="J268" s="5" t="s">
        <v>323</v>
      </c>
      <c r="K268" s="130" t="s">
        <v>328</v>
      </c>
      <c r="L268" s="5"/>
      <c r="M268" s="5" t="s">
        <v>546</v>
      </c>
    </row>
    <row r="269" spans="1:14" ht="45" hidden="1" customHeight="1">
      <c r="A269" s="2" t="s">
        <v>182</v>
      </c>
      <c r="B269" s="2" t="s">
        <v>896</v>
      </c>
      <c r="C269" s="2" t="s">
        <v>977</v>
      </c>
      <c r="D269" s="2" t="s">
        <v>545</v>
      </c>
      <c r="H269" s="138">
        <v>282</v>
      </c>
      <c r="I269" s="138"/>
      <c r="J269" s="5" t="s">
        <v>323</v>
      </c>
      <c r="K269" s="130" t="s">
        <v>328</v>
      </c>
      <c r="L269" s="5"/>
      <c r="M269" s="5" t="s">
        <v>546</v>
      </c>
      <c r="N269" s="11" t="s">
        <v>978</v>
      </c>
    </row>
    <row r="270" spans="1:14" ht="15" hidden="1" customHeight="1">
      <c r="A270" s="2" t="s">
        <v>182</v>
      </c>
      <c r="B270" s="2" t="s">
        <v>896</v>
      </c>
      <c r="C270" s="2" t="s">
        <v>979</v>
      </c>
      <c r="D270" s="2" t="s">
        <v>548</v>
      </c>
      <c r="H270" s="138" t="s">
        <v>980</v>
      </c>
      <c r="I270" s="138"/>
      <c r="J270" s="5" t="s">
        <v>323</v>
      </c>
      <c r="K270" s="130" t="s">
        <v>328</v>
      </c>
      <c r="L270" s="5"/>
      <c r="M270" s="5" t="s">
        <v>546</v>
      </c>
      <c r="N270" s="11" t="s">
        <v>981</v>
      </c>
    </row>
    <row r="271" spans="1:14" ht="15" hidden="1" customHeight="1">
      <c r="A271" s="2" t="s">
        <v>182</v>
      </c>
      <c r="B271" s="2" t="s">
        <v>896</v>
      </c>
      <c r="C271" s="2" t="s">
        <v>982</v>
      </c>
      <c r="D271" s="2" t="s">
        <v>36</v>
      </c>
      <c r="H271" s="138">
        <v>64</v>
      </c>
      <c r="I271" s="138"/>
      <c r="J271" s="5" t="s">
        <v>323</v>
      </c>
      <c r="K271" s="130" t="s">
        <v>328</v>
      </c>
      <c r="L271" s="5"/>
      <c r="M271" s="5" t="s">
        <v>551</v>
      </c>
    </row>
    <row r="272" spans="1:14" ht="15" hidden="1" customHeight="1">
      <c r="A272" s="2" t="s">
        <v>182</v>
      </c>
      <c r="B272" s="2" t="s">
        <v>896</v>
      </c>
      <c r="C272" s="2" t="s">
        <v>983</v>
      </c>
      <c r="D272" s="2" t="s">
        <v>554</v>
      </c>
      <c r="H272" s="138">
        <v>6</v>
      </c>
      <c r="I272" s="138"/>
      <c r="J272" s="5" t="s">
        <v>323</v>
      </c>
      <c r="K272" s="130" t="s">
        <v>328</v>
      </c>
      <c r="L272" s="5"/>
      <c r="M272" s="5" t="s">
        <v>478</v>
      </c>
    </row>
    <row r="273" spans="1:15" ht="15" hidden="1" customHeight="1">
      <c r="A273" s="2" t="s">
        <v>182</v>
      </c>
      <c r="B273" s="2" t="s">
        <v>896</v>
      </c>
      <c r="C273" s="2" t="s">
        <v>984</v>
      </c>
      <c r="D273" s="2" t="s">
        <v>556</v>
      </c>
      <c r="H273" s="138">
        <v>64</v>
      </c>
      <c r="I273" s="138"/>
      <c r="J273" s="5" t="s">
        <v>323</v>
      </c>
      <c r="K273" s="130" t="s">
        <v>328</v>
      </c>
      <c r="L273" s="5"/>
      <c r="M273" s="5" t="s">
        <v>551</v>
      </c>
    </row>
    <row r="274" spans="1:15" ht="15" hidden="1" customHeight="1">
      <c r="A274" s="2" t="s">
        <v>182</v>
      </c>
      <c r="B274" s="2" t="s">
        <v>896</v>
      </c>
      <c r="C274" s="2" t="s">
        <v>960</v>
      </c>
      <c r="D274" s="2" t="s">
        <v>192</v>
      </c>
      <c r="H274" s="138">
        <v>1108</v>
      </c>
      <c r="I274" s="138"/>
      <c r="J274" s="5" t="s">
        <v>323</v>
      </c>
      <c r="K274" s="130" t="s">
        <v>328</v>
      </c>
      <c r="L274" s="5"/>
      <c r="M274" s="5" t="s">
        <v>478</v>
      </c>
    </row>
    <row r="275" spans="1:15" ht="15" hidden="1" customHeight="1">
      <c r="A275" s="2" t="s">
        <v>182</v>
      </c>
      <c r="B275" s="2" t="s">
        <v>896</v>
      </c>
      <c r="C275" s="2" t="s">
        <v>961</v>
      </c>
      <c r="D275" s="2" t="s">
        <v>56</v>
      </c>
      <c r="H275" s="138">
        <v>1108</v>
      </c>
      <c r="I275" s="138"/>
      <c r="J275" s="5" t="s">
        <v>323</v>
      </c>
      <c r="K275" s="130" t="s">
        <v>328</v>
      </c>
      <c r="L275" s="5"/>
      <c r="M275" s="5" t="s">
        <v>478</v>
      </c>
    </row>
    <row r="276" spans="1:15" ht="15" hidden="1" customHeight="1">
      <c r="A276" s="2" t="s">
        <v>182</v>
      </c>
      <c r="B276" s="2" t="s">
        <v>896</v>
      </c>
      <c r="C276" s="2" t="s">
        <v>985</v>
      </c>
      <c r="D276" s="2" t="s">
        <v>562</v>
      </c>
      <c r="H276" s="138">
        <v>1108</v>
      </c>
      <c r="I276" s="138"/>
      <c r="J276" s="5" t="s">
        <v>323</v>
      </c>
      <c r="K276" s="130" t="s">
        <v>328</v>
      </c>
      <c r="L276" s="5"/>
      <c r="M276" s="5" t="s">
        <v>478</v>
      </c>
    </row>
    <row r="277" spans="1:15" ht="15" hidden="1" customHeight="1">
      <c r="A277" s="2" t="s">
        <v>182</v>
      </c>
      <c r="B277" s="2" t="s">
        <v>896</v>
      </c>
      <c r="C277" s="2" t="s">
        <v>986</v>
      </c>
      <c r="D277" s="2" t="s">
        <v>565</v>
      </c>
      <c r="H277" s="138">
        <v>0</v>
      </c>
      <c r="I277" s="138"/>
      <c r="J277" s="5" t="s">
        <v>323</v>
      </c>
      <c r="K277" s="130" t="s">
        <v>328</v>
      </c>
      <c r="L277" s="5" t="s">
        <v>964</v>
      </c>
    </row>
    <row r="278" spans="1:15" ht="15" hidden="1" customHeight="1">
      <c r="A278" s="2" t="s">
        <v>182</v>
      </c>
      <c r="B278" s="2" t="s">
        <v>896</v>
      </c>
      <c r="C278" s="2" t="s">
        <v>987</v>
      </c>
      <c r="D278" s="2" t="s">
        <v>59</v>
      </c>
      <c r="H278" s="138">
        <v>0</v>
      </c>
      <c r="I278" s="138"/>
      <c r="J278" s="5" t="s">
        <v>323</v>
      </c>
      <c r="K278" s="130" t="s">
        <v>328</v>
      </c>
      <c r="L278" s="5" t="s">
        <v>964</v>
      </c>
    </row>
    <row r="279" spans="1:15" ht="15" hidden="1" customHeight="1">
      <c r="A279" s="2" t="s">
        <v>182</v>
      </c>
      <c r="B279" s="2" t="s">
        <v>333</v>
      </c>
      <c r="C279" s="2" t="s">
        <v>988</v>
      </c>
      <c r="D279" s="2" t="s">
        <v>989</v>
      </c>
      <c r="I279" s="138"/>
      <c r="J279" s="5" t="s">
        <v>323</v>
      </c>
      <c r="K279" s="130" t="s">
        <v>330</v>
      </c>
      <c r="L279" s="5"/>
    </row>
    <row r="280" spans="1:15" ht="15" hidden="1" customHeight="1">
      <c r="A280" s="2" t="s">
        <v>182</v>
      </c>
      <c r="B280" s="2" t="s">
        <v>333</v>
      </c>
      <c r="C280" s="2" t="s">
        <v>990</v>
      </c>
      <c r="D280" s="2" t="s">
        <v>991</v>
      </c>
      <c r="I280" s="138"/>
      <c r="J280" s="5" t="s">
        <v>323</v>
      </c>
      <c r="K280" s="130" t="s">
        <v>329</v>
      </c>
      <c r="L280" s="5" t="s">
        <v>964</v>
      </c>
    </row>
    <row r="281" spans="1:15" ht="15" hidden="1" customHeight="1">
      <c r="A281" s="2" t="s">
        <v>182</v>
      </c>
      <c r="B281" s="2" t="s">
        <v>333</v>
      </c>
      <c r="C281" s="2" t="s">
        <v>992</v>
      </c>
      <c r="D281" s="2" t="s">
        <v>993</v>
      </c>
      <c r="I281" s="138"/>
      <c r="J281" s="5" t="s">
        <v>323</v>
      </c>
      <c r="K281" s="130" t="s">
        <v>330</v>
      </c>
      <c r="L281" s="5"/>
    </row>
    <row r="282" spans="1:15" ht="25.5" hidden="1" customHeight="1">
      <c r="A282" s="2" t="s">
        <v>182</v>
      </c>
      <c r="B282" s="2" t="s">
        <v>333</v>
      </c>
      <c r="C282" s="2" t="s">
        <v>994</v>
      </c>
      <c r="D282" s="2" t="s">
        <v>995</v>
      </c>
      <c r="F282" s="129">
        <v>1</v>
      </c>
      <c r="H282" s="138">
        <v>757</v>
      </c>
      <c r="I282" s="138"/>
      <c r="J282" s="5" t="s">
        <v>323</v>
      </c>
      <c r="K282" s="130" t="s">
        <v>328</v>
      </c>
      <c r="L282" s="5"/>
      <c r="M282" s="5" t="s">
        <v>385</v>
      </c>
      <c r="O282" t="s">
        <v>479</v>
      </c>
    </row>
    <row r="283" spans="1:15" ht="15" hidden="1" customHeight="1">
      <c r="A283" s="2" t="s">
        <v>182</v>
      </c>
      <c r="B283" s="2" t="s">
        <v>333</v>
      </c>
      <c r="C283" s="2" t="s">
        <v>996</v>
      </c>
      <c r="D283" s="2" t="s">
        <v>394</v>
      </c>
      <c r="H283" s="138">
        <v>319</v>
      </c>
      <c r="I283" s="138"/>
      <c r="J283" s="5" t="s">
        <v>323</v>
      </c>
      <c r="K283" s="130" t="s">
        <v>328</v>
      </c>
      <c r="L283" s="5"/>
      <c r="M283" s="5" t="s">
        <v>385</v>
      </c>
    </row>
    <row r="284" spans="1:15" ht="25.5" hidden="1" customHeight="1">
      <c r="A284" s="2" t="s">
        <v>182</v>
      </c>
      <c r="B284" s="2" t="s">
        <v>333</v>
      </c>
      <c r="C284" s="2" t="s">
        <v>997</v>
      </c>
      <c r="D284" s="2" t="s">
        <v>998</v>
      </c>
      <c r="H284" s="138">
        <f>H282-H283</f>
        <v>438</v>
      </c>
      <c r="I284" s="138"/>
      <c r="J284" s="5" t="s">
        <v>323</v>
      </c>
      <c r="K284" s="130" t="s">
        <v>328</v>
      </c>
      <c r="L284" s="5"/>
      <c r="M284" s="5" t="s">
        <v>999</v>
      </c>
    </row>
    <row r="285" spans="1:15" ht="25.5" hidden="1" customHeight="1">
      <c r="A285" s="2" t="s">
        <v>182</v>
      </c>
      <c r="B285" s="2" t="s">
        <v>333</v>
      </c>
      <c r="C285" s="2" t="s">
        <v>1000</v>
      </c>
      <c r="D285" s="2" t="s">
        <v>1001</v>
      </c>
      <c r="I285" s="138"/>
      <c r="J285" s="5" t="s">
        <v>323</v>
      </c>
      <c r="K285" s="130" t="s">
        <v>330</v>
      </c>
      <c r="L285" s="5"/>
    </row>
    <row r="286" spans="1:15" ht="25.5" hidden="1" customHeight="1">
      <c r="A286" s="2" t="s">
        <v>182</v>
      </c>
      <c r="B286" s="2" t="s">
        <v>333</v>
      </c>
      <c r="C286" s="2" t="s">
        <v>1002</v>
      </c>
      <c r="D286" s="2" t="s">
        <v>1003</v>
      </c>
      <c r="H286" s="138">
        <v>109</v>
      </c>
      <c r="I286" s="138"/>
      <c r="J286" s="5" t="s">
        <v>323</v>
      </c>
      <c r="K286" s="130" t="s">
        <v>328</v>
      </c>
      <c r="L286" s="5"/>
      <c r="M286" s="5" t="s">
        <v>385</v>
      </c>
    </row>
    <row r="287" spans="1:15" ht="38.25" hidden="1" customHeight="1">
      <c r="A287" s="2" t="s">
        <v>182</v>
      </c>
      <c r="B287" s="2" t="s">
        <v>333</v>
      </c>
      <c r="C287" s="2" t="s">
        <v>1004</v>
      </c>
      <c r="D287" s="2" t="s">
        <v>115</v>
      </c>
      <c r="F287" s="129">
        <v>1</v>
      </c>
      <c r="H287" s="138">
        <v>415</v>
      </c>
      <c r="I287" s="138"/>
      <c r="J287" s="5" t="s">
        <v>323</v>
      </c>
      <c r="K287" s="130" t="s">
        <v>328</v>
      </c>
      <c r="L287" s="5"/>
      <c r="M287" s="5" t="s">
        <v>1005</v>
      </c>
      <c r="N287" s="11" t="s">
        <v>1006</v>
      </c>
      <c r="O287" t="s">
        <v>479</v>
      </c>
    </row>
    <row r="288" spans="1:15" ht="15" hidden="1" customHeight="1">
      <c r="A288" s="2" t="s">
        <v>182</v>
      </c>
      <c r="B288" s="2" t="s">
        <v>333</v>
      </c>
      <c r="C288" s="2" t="s">
        <v>1007</v>
      </c>
      <c r="D288" s="2" t="s">
        <v>489</v>
      </c>
      <c r="F288" s="129">
        <v>1</v>
      </c>
      <c r="H288" s="138">
        <v>14</v>
      </c>
      <c r="I288" s="138"/>
      <c r="J288" s="5" t="s">
        <v>323</v>
      </c>
      <c r="K288" s="130" t="s">
        <v>328</v>
      </c>
      <c r="L288" s="5"/>
      <c r="M288" s="5" t="s">
        <v>490</v>
      </c>
      <c r="O288" t="s">
        <v>479</v>
      </c>
    </row>
    <row r="289" spans="1:15" ht="25.5" hidden="1" customHeight="1">
      <c r="A289" s="2" t="s">
        <v>182</v>
      </c>
      <c r="B289" s="2" t="s">
        <v>333</v>
      </c>
      <c r="C289" s="2" t="s">
        <v>1008</v>
      </c>
      <c r="D289" s="2" t="s">
        <v>481</v>
      </c>
      <c r="H289" s="138">
        <v>66</v>
      </c>
      <c r="I289" s="138"/>
      <c r="J289" s="5" t="s">
        <v>323</v>
      </c>
      <c r="K289" s="130" t="s">
        <v>328</v>
      </c>
      <c r="L289" s="5"/>
      <c r="M289" s="5" t="s">
        <v>546</v>
      </c>
    </row>
    <row r="290" spans="1:15" ht="38.25" hidden="1" customHeight="1">
      <c r="A290" s="2" t="s">
        <v>182</v>
      </c>
      <c r="B290" s="2" t="s">
        <v>333</v>
      </c>
      <c r="C290" s="2" t="s">
        <v>1009</v>
      </c>
      <c r="D290" s="2" t="s">
        <v>1010</v>
      </c>
      <c r="H290" s="138">
        <f>2962.5+1002.94</f>
        <v>3965.44</v>
      </c>
      <c r="I290" s="138"/>
      <c r="J290" s="5" t="s">
        <v>323</v>
      </c>
      <c r="K290" s="130" t="s">
        <v>328</v>
      </c>
      <c r="L290" s="5"/>
      <c r="M290" s="5" t="s">
        <v>1005</v>
      </c>
      <c r="N290" s="11" t="s">
        <v>1011</v>
      </c>
    </row>
    <row r="291" spans="1:15" ht="38.25" hidden="1" customHeight="1">
      <c r="A291" s="2" t="s">
        <v>182</v>
      </c>
      <c r="B291" s="2" t="s">
        <v>333</v>
      </c>
      <c r="C291" s="2" t="s">
        <v>1012</v>
      </c>
      <c r="D291" s="2" t="s">
        <v>1013</v>
      </c>
      <c r="H291" s="138">
        <v>275</v>
      </c>
      <c r="I291" s="138"/>
      <c r="J291" s="5" t="s">
        <v>323</v>
      </c>
      <c r="K291" s="130" t="s">
        <v>328</v>
      </c>
      <c r="L291" s="5"/>
      <c r="M291" s="5" t="s">
        <v>1005</v>
      </c>
    </row>
    <row r="292" spans="1:15" ht="25.5" hidden="1" customHeight="1">
      <c r="A292" s="2" t="s">
        <v>182</v>
      </c>
      <c r="B292" s="2" t="s">
        <v>333</v>
      </c>
      <c r="C292" s="2" t="s">
        <v>1014</v>
      </c>
      <c r="D292" s="2" t="s">
        <v>1015</v>
      </c>
      <c r="H292" s="138">
        <v>275</v>
      </c>
      <c r="I292" s="138"/>
      <c r="J292" s="5" t="s">
        <v>323</v>
      </c>
      <c r="K292" s="130" t="s">
        <v>328</v>
      </c>
      <c r="L292" s="5" t="s">
        <v>964</v>
      </c>
      <c r="M292" s="5" t="s">
        <v>999</v>
      </c>
    </row>
    <row r="293" spans="1:15" ht="15" hidden="1" customHeight="1">
      <c r="A293" s="2" t="s">
        <v>182</v>
      </c>
      <c r="B293" s="2" t="s">
        <v>333</v>
      </c>
      <c r="C293" s="2" t="s">
        <v>1016</v>
      </c>
      <c r="D293" s="2" t="s">
        <v>1017</v>
      </c>
      <c r="I293" s="138"/>
      <c r="J293" s="5" t="s">
        <v>323</v>
      </c>
      <c r="K293" s="130" t="s">
        <v>329</v>
      </c>
      <c r="L293" s="5" t="s">
        <v>964</v>
      </c>
    </row>
    <row r="294" spans="1:15" ht="38.25" hidden="1" customHeight="1">
      <c r="A294" s="2" t="s">
        <v>182</v>
      </c>
      <c r="B294" s="2" t="s">
        <v>333</v>
      </c>
      <c r="C294" s="2" t="s">
        <v>1018</v>
      </c>
      <c r="D294" s="2" t="s">
        <v>1019</v>
      </c>
      <c r="H294" s="138">
        <v>141</v>
      </c>
      <c r="I294" s="138"/>
      <c r="J294" s="5" t="s">
        <v>323</v>
      </c>
      <c r="K294" s="130" t="s">
        <v>328</v>
      </c>
      <c r="L294" s="5"/>
      <c r="M294" s="5" t="s">
        <v>1005</v>
      </c>
    </row>
    <row r="295" spans="1:15" ht="15" hidden="1" customHeight="1">
      <c r="A295" s="2" t="s">
        <v>182</v>
      </c>
      <c r="B295" s="2" t="s">
        <v>333</v>
      </c>
      <c r="C295" s="2" t="s">
        <v>1020</v>
      </c>
      <c r="D295" s="2" t="s">
        <v>1021</v>
      </c>
      <c r="I295" s="138"/>
      <c r="J295" s="5" t="s">
        <v>323</v>
      </c>
      <c r="K295" s="130" t="s">
        <v>329</v>
      </c>
      <c r="L295" s="5" t="s">
        <v>964</v>
      </c>
    </row>
    <row r="296" spans="1:15" ht="15" hidden="1" customHeight="1">
      <c r="A296" s="2" t="s">
        <v>182</v>
      </c>
      <c r="B296" s="2" t="s">
        <v>333</v>
      </c>
      <c r="C296" s="2" t="s">
        <v>1022</v>
      </c>
      <c r="D296" s="2" t="s">
        <v>1023</v>
      </c>
      <c r="I296" s="138"/>
      <c r="J296" s="5" t="s">
        <v>323</v>
      </c>
      <c r="K296" s="130" t="s">
        <v>329</v>
      </c>
      <c r="L296" s="5" t="s">
        <v>964</v>
      </c>
    </row>
    <row r="297" spans="1:15" ht="25.5" hidden="1" customHeight="1">
      <c r="A297" s="2" t="s">
        <v>182</v>
      </c>
      <c r="B297" s="2" t="s">
        <v>333</v>
      </c>
      <c r="C297" s="2" t="s">
        <v>1024</v>
      </c>
      <c r="D297" s="2" t="s">
        <v>120</v>
      </c>
      <c r="F297" s="129">
        <v>1</v>
      </c>
      <c r="H297" s="138">
        <v>415</v>
      </c>
      <c r="I297" s="138"/>
      <c r="J297" s="5" t="s">
        <v>323</v>
      </c>
      <c r="K297" s="130" t="s">
        <v>328</v>
      </c>
      <c r="L297" s="5"/>
      <c r="M297" s="5" t="s">
        <v>1025</v>
      </c>
      <c r="O297" t="s">
        <v>479</v>
      </c>
    </row>
    <row r="298" spans="1:15" ht="38.25" hidden="1" customHeight="1">
      <c r="A298" s="2" t="s">
        <v>182</v>
      </c>
      <c r="B298" s="2" t="s">
        <v>333</v>
      </c>
      <c r="C298" s="2" t="s">
        <v>1026</v>
      </c>
      <c r="D298" s="2" t="s">
        <v>1027</v>
      </c>
      <c r="I298" s="138"/>
      <c r="J298" s="5" t="s">
        <v>323</v>
      </c>
      <c r="K298" s="130" t="s">
        <v>329</v>
      </c>
      <c r="L298" s="5" t="s">
        <v>964</v>
      </c>
      <c r="M298" s="5" t="s">
        <v>1028</v>
      </c>
    </row>
    <row r="299" spans="1:15" ht="15" hidden="1" customHeight="1">
      <c r="A299" s="2" t="s">
        <v>182</v>
      </c>
      <c r="B299" s="2" t="s">
        <v>333</v>
      </c>
      <c r="C299" s="2" t="s">
        <v>1029</v>
      </c>
      <c r="D299" s="2" t="s">
        <v>1030</v>
      </c>
      <c r="H299" s="138">
        <v>295</v>
      </c>
      <c r="I299" s="138"/>
      <c r="J299" s="5" t="s">
        <v>323</v>
      </c>
      <c r="K299" s="130" t="s">
        <v>328</v>
      </c>
      <c r="L299" s="5"/>
      <c r="M299" s="5" t="s">
        <v>478</v>
      </c>
    </row>
    <row r="300" spans="1:15" ht="25.5" hidden="1" customHeight="1">
      <c r="A300" s="2" t="s">
        <v>182</v>
      </c>
      <c r="B300" s="2" t="s">
        <v>333</v>
      </c>
      <c r="C300" s="2" t="s">
        <v>1031</v>
      </c>
      <c r="D300" s="2" t="s">
        <v>500</v>
      </c>
      <c r="I300" s="138"/>
      <c r="J300" s="5" t="s">
        <v>323</v>
      </c>
      <c r="K300" s="130" t="s">
        <v>329</v>
      </c>
      <c r="L300" s="5" t="s">
        <v>964</v>
      </c>
      <c r="M300" s="5" t="s">
        <v>999</v>
      </c>
    </row>
    <row r="301" spans="1:15" ht="25.5" hidden="1" customHeight="1">
      <c r="A301" s="2" t="s">
        <v>182</v>
      </c>
      <c r="B301" s="2" t="s">
        <v>333</v>
      </c>
      <c r="C301" s="2" t="s">
        <v>1032</v>
      </c>
      <c r="D301" s="2" t="s">
        <v>851</v>
      </c>
      <c r="H301" s="138">
        <v>415</v>
      </c>
      <c r="I301" s="138"/>
      <c r="J301" s="5" t="s">
        <v>323</v>
      </c>
      <c r="K301" s="130" t="s">
        <v>328</v>
      </c>
      <c r="L301" s="5"/>
      <c r="M301" s="5" t="s">
        <v>999</v>
      </c>
      <c r="N301" s="11" t="s">
        <v>1033</v>
      </c>
    </row>
    <row r="302" spans="1:15" ht="15" hidden="1" customHeight="1">
      <c r="A302" s="2" t="s">
        <v>182</v>
      </c>
      <c r="B302" s="2" t="s">
        <v>333</v>
      </c>
      <c r="C302" s="2" t="s">
        <v>1034</v>
      </c>
      <c r="D302" s="2" t="s">
        <v>1035</v>
      </c>
      <c r="I302" s="138"/>
      <c r="J302" s="5" t="s">
        <v>323</v>
      </c>
      <c r="K302" s="130" t="s">
        <v>329</v>
      </c>
      <c r="L302" s="5" t="s">
        <v>964</v>
      </c>
    </row>
    <row r="303" spans="1:15" ht="15" hidden="1" customHeight="1">
      <c r="A303" s="2" t="s">
        <v>182</v>
      </c>
      <c r="B303" s="2" t="s">
        <v>333</v>
      </c>
      <c r="C303" s="2" t="s">
        <v>1036</v>
      </c>
      <c r="D303" s="2" t="s">
        <v>1037</v>
      </c>
      <c r="I303" s="138"/>
      <c r="J303" s="5" t="s">
        <v>323</v>
      </c>
      <c r="K303" s="130" t="s">
        <v>329</v>
      </c>
      <c r="L303" s="5" t="s">
        <v>964</v>
      </c>
    </row>
    <row r="304" spans="1:15" ht="15" hidden="1" customHeight="1">
      <c r="A304" s="2" t="s">
        <v>182</v>
      </c>
      <c r="B304" s="2" t="s">
        <v>333</v>
      </c>
      <c r="C304" s="2" t="s">
        <v>1038</v>
      </c>
      <c r="D304" s="2" t="s">
        <v>1039</v>
      </c>
      <c r="I304" s="138"/>
      <c r="J304" s="5" t="s">
        <v>323</v>
      </c>
      <c r="K304" s="130" t="s">
        <v>329</v>
      </c>
      <c r="L304" s="5" t="s">
        <v>964</v>
      </c>
    </row>
    <row r="305" spans="1:14" ht="15" hidden="1" customHeight="1">
      <c r="A305" s="2" t="s">
        <v>182</v>
      </c>
      <c r="B305" s="2" t="s">
        <v>333</v>
      </c>
      <c r="C305" s="2" t="s">
        <v>1040</v>
      </c>
      <c r="D305" s="2" t="s">
        <v>1041</v>
      </c>
      <c r="I305" s="138"/>
      <c r="J305" s="5" t="s">
        <v>323</v>
      </c>
      <c r="K305" s="130" t="s">
        <v>329</v>
      </c>
      <c r="L305" s="5" t="s">
        <v>964</v>
      </c>
    </row>
    <row r="306" spans="1:14" ht="15" hidden="1" customHeight="1">
      <c r="A306" s="2" t="s">
        <v>182</v>
      </c>
      <c r="B306" s="2" t="s">
        <v>333</v>
      </c>
      <c r="C306" s="2" t="s">
        <v>1042</v>
      </c>
      <c r="D306" s="2" t="s">
        <v>1043</v>
      </c>
      <c r="I306" s="138"/>
      <c r="J306" s="5" t="s">
        <v>323</v>
      </c>
      <c r="K306" s="130" t="s">
        <v>329</v>
      </c>
      <c r="L306" s="5" t="s">
        <v>964</v>
      </c>
    </row>
    <row r="307" spans="1:14" ht="15" hidden="1" customHeight="1">
      <c r="A307" s="2" t="s">
        <v>182</v>
      </c>
      <c r="B307" s="2" t="s">
        <v>333</v>
      </c>
      <c r="C307" s="2" t="s">
        <v>1044</v>
      </c>
      <c r="D307" s="2" t="s">
        <v>1021</v>
      </c>
      <c r="I307" s="138"/>
      <c r="J307" s="5" t="s">
        <v>323</v>
      </c>
      <c r="K307" s="130" t="s">
        <v>329</v>
      </c>
      <c r="L307" s="5" t="s">
        <v>964</v>
      </c>
    </row>
    <row r="308" spans="1:14" ht="15" hidden="1" customHeight="1">
      <c r="A308" s="2" t="s">
        <v>182</v>
      </c>
      <c r="B308" s="2" t="s">
        <v>333</v>
      </c>
      <c r="C308" s="2" t="s">
        <v>1045</v>
      </c>
      <c r="D308" s="2" t="s">
        <v>1046</v>
      </c>
      <c r="I308" s="138"/>
      <c r="J308" s="5" t="s">
        <v>323</v>
      </c>
      <c r="K308" s="130" t="s">
        <v>329</v>
      </c>
      <c r="L308" s="5" t="s">
        <v>964</v>
      </c>
    </row>
    <row r="309" spans="1:14" ht="15" hidden="1" customHeight="1">
      <c r="A309" s="2" t="s">
        <v>182</v>
      </c>
      <c r="B309" s="2" t="s">
        <v>333</v>
      </c>
      <c r="C309" s="2" t="s">
        <v>1047</v>
      </c>
      <c r="D309" s="2" t="s">
        <v>1048</v>
      </c>
      <c r="I309" s="138"/>
      <c r="J309" s="5" t="s">
        <v>323</v>
      </c>
      <c r="K309" s="130" t="s">
        <v>329</v>
      </c>
      <c r="L309" s="5"/>
      <c r="M309" s="5" t="s">
        <v>1049</v>
      </c>
    </row>
    <row r="310" spans="1:14" ht="25.5" hidden="1" customHeight="1">
      <c r="A310" s="2" t="s">
        <v>182</v>
      </c>
      <c r="B310" s="2" t="s">
        <v>333</v>
      </c>
      <c r="C310" s="2" t="s">
        <v>1050</v>
      </c>
      <c r="D310" s="2" t="s">
        <v>1051</v>
      </c>
      <c r="I310" s="138"/>
      <c r="J310" s="5" t="s">
        <v>323</v>
      </c>
      <c r="K310" s="130" t="s">
        <v>329</v>
      </c>
      <c r="L310" s="5"/>
      <c r="M310" s="5" t="s">
        <v>1049</v>
      </c>
    </row>
    <row r="311" spans="1:14" ht="15" hidden="1" customHeight="1">
      <c r="A311" s="2" t="s">
        <v>182</v>
      </c>
      <c r="B311" s="2" t="s">
        <v>333</v>
      </c>
      <c r="C311" s="2" t="s">
        <v>1052</v>
      </c>
      <c r="D311" s="2" t="s">
        <v>34</v>
      </c>
      <c r="H311" s="138" t="s">
        <v>1053</v>
      </c>
      <c r="I311" s="138"/>
      <c r="J311" s="5" t="s">
        <v>323</v>
      </c>
      <c r="K311" s="130" t="s">
        <v>328</v>
      </c>
      <c r="L311" s="5"/>
      <c r="M311" s="5" t="s">
        <v>478</v>
      </c>
      <c r="N311" s="11" t="s">
        <v>1054</v>
      </c>
    </row>
    <row r="312" spans="1:14" ht="15" hidden="1" customHeight="1">
      <c r="A312" s="2" t="s">
        <v>182</v>
      </c>
      <c r="B312" s="2" t="s">
        <v>333</v>
      </c>
      <c r="C312" s="2" t="s">
        <v>1055</v>
      </c>
      <c r="D312" s="2" t="s">
        <v>35</v>
      </c>
      <c r="H312" s="138">
        <v>13</v>
      </c>
      <c r="I312" s="138"/>
      <c r="J312" s="5" t="s">
        <v>323</v>
      </c>
      <c r="K312" s="130" t="s">
        <v>328</v>
      </c>
      <c r="L312" s="5"/>
      <c r="M312" s="5" t="s">
        <v>490</v>
      </c>
    </row>
    <row r="313" spans="1:14" ht="15" hidden="1" customHeight="1">
      <c r="A313" s="2" t="s">
        <v>182</v>
      </c>
      <c r="B313" s="2" t="s">
        <v>333</v>
      </c>
      <c r="C313" s="2" t="s">
        <v>1056</v>
      </c>
      <c r="D313" s="2" t="s">
        <v>545</v>
      </c>
      <c r="H313" s="138">
        <v>28</v>
      </c>
      <c r="I313" s="138"/>
      <c r="J313" s="5" t="s">
        <v>323</v>
      </c>
      <c r="K313" s="130" t="s">
        <v>328</v>
      </c>
      <c r="L313" s="5"/>
      <c r="M313" s="5" t="s">
        <v>546</v>
      </c>
    </row>
    <row r="314" spans="1:14" ht="15" hidden="1" customHeight="1">
      <c r="A314" s="2" t="s">
        <v>182</v>
      </c>
      <c r="B314" s="2" t="s">
        <v>333</v>
      </c>
      <c r="C314" s="2" t="s">
        <v>1057</v>
      </c>
      <c r="D314" s="2" t="s">
        <v>548</v>
      </c>
      <c r="H314" s="138">
        <v>19</v>
      </c>
      <c r="I314" s="138"/>
      <c r="J314" s="5" t="s">
        <v>323</v>
      </c>
      <c r="K314" s="130" t="s">
        <v>328</v>
      </c>
      <c r="L314" s="5"/>
      <c r="M314" s="5" t="s">
        <v>546</v>
      </c>
    </row>
    <row r="315" spans="1:14" ht="15" hidden="1" customHeight="1">
      <c r="A315" s="2" t="s">
        <v>182</v>
      </c>
      <c r="B315" s="2" t="s">
        <v>333</v>
      </c>
      <c r="C315" s="2" t="s">
        <v>1058</v>
      </c>
      <c r="D315" s="2" t="s">
        <v>36</v>
      </c>
      <c r="H315" s="138">
        <v>9</v>
      </c>
      <c r="I315" s="138"/>
      <c r="J315" s="5" t="s">
        <v>323</v>
      </c>
      <c r="K315" s="130" t="s">
        <v>328</v>
      </c>
      <c r="L315" s="5"/>
      <c r="M315" s="5" t="s">
        <v>551</v>
      </c>
    </row>
    <row r="316" spans="1:14" ht="15" hidden="1" customHeight="1">
      <c r="A316" s="2" t="s">
        <v>182</v>
      </c>
      <c r="B316" s="2" t="s">
        <v>333</v>
      </c>
      <c r="C316" s="2" t="s">
        <v>1059</v>
      </c>
      <c r="D316" s="2" t="s">
        <v>554</v>
      </c>
      <c r="H316" s="138">
        <v>1</v>
      </c>
      <c r="I316" s="138"/>
      <c r="J316" s="5" t="s">
        <v>323</v>
      </c>
      <c r="K316" s="130" t="s">
        <v>328</v>
      </c>
      <c r="L316" s="5"/>
      <c r="M316" s="5" t="s">
        <v>478</v>
      </c>
      <c r="N316" s="11" t="s">
        <v>1060</v>
      </c>
    </row>
    <row r="317" spans="1:14" ht="15" hidden="1" customHeight="1">
      <c r="A317" s="2" t="s">
        <v>182</v>
      </c>
      <c r="B317" s="2" t="s">
        <v>333</v>
      </c>
      <c r="C317" s="2" t="s">
        <v>1061</v>
      </c>
      <c r="D317" s="2" t="s">
        <v>556</v>
      </c>
      <c r="H317" s="138">
        <v>9</v>
      </c>
      <c r="I317" s="138"/>
      <c r="J317" s="5" t="s">
        <v>323</v>
      </c>
      <c r="K317" s="130" t="s">
        <v>328</v>
      </c>
      <c r="L317" s="5"/>
      <c r="M317" s="5" t="s">
        <v>551</v>
      </c>
    </row>
    <row r="318" spans="1:14" ht="15" hidden="1" customHeight="1">
      <c r="A318" s="2" t="s">
        <v>182</v>
      </c>
      <c r="B318" s="2" t="s">
        <v>333</v>
      </c>
      <c r="C318" s="2" t="s">
        <v>1062</v>
      </c>
      <c r="D318" s="2" t="s">
        <v>192</v>
      </c>
      <c r="H318" s="138">
        <v>114</v>
      </c>
      <c r="I318" s="138"/>
      <c r="J318" s="5" t="s">
        <v>323</v>
      </c>
      <c r="K318" s="130" t="s">
        <v>328</v>
      </c>
      <c r="L318" s="5"/>
      <c r="M318" s="5" t="s">
        <v>478</v>
      </c>
    </row>
    <row r="319" spans="1:14" ht="15" hidden="1" customHeight="1">
      <c r="A319" s="2" t="s">
        <v>182</v>
      </c>
      <c r="B319" s="2" t="s">
        <v>333</v>
      </c>
      <c r="C319" s="2" t="s">
        <v>1063</v>
      </c>
      <c r="D319" s="2" t="s">
        <v>56</v>
      </c>
      <c r="H319" s="138">
        <v>114</v>
      </c>
      <c r="I319" s="138"/>
      <c r="J319" s="5" t="s">
        <v>323</v>
      </c>
      <c r="K319" s="130" t="s">
        <v>328</v>
      </c>
      <c r="L319" s="5"/>
      <c r="M319" s="5" t="s">
        <v>478</v>
      </c>
    </row>
    <row r="320" spans="1:14" ht="15" hidden="1" customHeight="1">
      <c r="A320" s="2" t="s">
        <v>182</v>
      </c>
      <c r="B320" s="2" t="s">
        <v>333</v>
      </c>
      <c r="C320" s="2" t="s">
        <v>1064</v>
      </c>
      <c r="D320" s="2" t="s">
        <v>562</v>
      </c>
      <c r="H320" s="138">
        <v>114</v>
      </c>
      <c r="I320" s="138"/>
      <c r="J320" s="5" t="s">
        <v>323</v>
      </c>
      <c r="K320" s="130" t="s">
        <v>328</v>
      </c>
      <c r="L320" s="5"/>
      <c r="M320" s="5" t="s">
        <v>478</v>
      </c>
    </row>
    <row r="321" spans="1:15" ht="15" hidden="1" customHeight="1">
      <c r="A321" s="2" t="s">
        <v>182</v>
      </c>
      <c r="B321" s="2" t="s">
        <v>333</v>
      </c>
      <c r="C321" s="2" t="s">
        <v>1065</v>
      </c>
      <c r="D321" s="2" t="s">
        <v>565</v>
      </c>
      <c r="I321" s="138"/>
      <c r="J321" s="5" t="s">
        <v>323</v>
      </c>
      <c r="K321" s="130" t="s">
        <v>329</v>
      </c>
      <c r="L321" s="5"/>
      <c r="M321" s="5" t="s">
        <v>385</v>
      </c>
      <c r="N321" s="11" t="s">
        <v>1066</v>
      </c>
    </row>
    <row r="322" spans="1:15" ht="15" hidden="1" customHeight="1">
      <c r="A322" s="2" t="s">
        <v>182</v>
      </c>
      <c r="B322" s="2" t="s">
        <v>333</v>
      </c>
      <c r="C322" s="2" t="s">
        <v>1067</v>
      </c>
      <c r="D322" s="2" t="s">
        <v>59</v>
      </c>
      <c r="I322" s="138"/>
      <c r="J322" s="5" t="s">
        <v>323</v>
      </c>
      <c r="K322" s="130" t="s">
        <v>329</v>
      </c>
      <c r="L322" s="5"/>
      <c r="M322" s="5" t="s">
        <v>478</v>
      </c>
    </row>
    <row r="323" spans="1:15" ht="15" hidden="1" customHeight="1">
      <c r="A323" s="2" t="s">
        <v>182</v>
      </c>
      <c r="B323" s="2" t="s">
        <v>1068</v>
      </c>
      <c r="C323" s="2" t="s">
        <v>1069</v>
      </c>
      <c r="D323" s="2" t="s">
        <v>1070</v>
      </c>
      <c r="I323" s="138"/>
      <c r="J323" s="5" t="s">
        <v>323</v>
      </c>
      <c r="K323" s="130" t="s">
        <v>330</v>
      </c>
      <c r="L323" s="5"/>
    </row>
    <row r="324" spans="1:15" ht="15" hidden="1" customHeight="1">
      <c r="A324" s="2" t="s">
        <v>182</v>
      </c>
      <c r="B324" s="2" t="s">
        <v>1068</v>
      </c>
      <c r="C324" s="2" t="s">
        <v>1071</v>
      </c>
      <c r="D324" s="2" t="s">
        <v>1072</v>
      </c>
      <c r="H324" s="138">
        <v>21</v>
      </c>
      <c r="I324" s="138"/>
      <c r="J324" s="5" t="s">
        <v>323</v>
      </c>
      <c r="K324" s="130" t="s">
        <v>328</v>
      </c>
      <c r="L324" s="5"/>
    </row>
    <row r="325" spans="1:15" ht="15" hidden="1" customHeight="1">
      <c r="A325" s="2" t="s">
        <v>182</v>
      </c>
      <c r="B325" s="2" t="s">
        <v>1068</v>
      </c>
      <c r="C325" s="2" t="s">
        <v>1073</v>
      </c>
      <c r="D325" s="2" t="s">
        <v>1074</v>
      </c>
      <c r="H325" s="138">
        <v>0</v>
      </c>
      <c r="I325" s="138"/>
      <c r="J325" s="5" t="s">
        <v>323</v>
      </c>
      <c r="K325" s="130" t="s">
        <v>328</v>
      </c>
      <c r="L325" s="5"/>
    </row>
    <row r="326" spans="1:15" ht="15" hidden="1" customHeight="1">
      <c r="A326" s="2" t="s">
        <v>182</v>
      </c>
      <c r="B326" s="2" t="s">
        <v>1068</v>
      </c>
      <c r="C326" s="2" t="s">
        <v>1075</v>
      </c>
      <c r="D326" s="2" t="s">
        <v>1076</v>
      </c>
      <c r="I326" s="138"/>
      <c r="J326" s="5" t="s">
        <v>323</v>
      </c>
      <c r="K326" s="130" t="s">
        <v>329</v>
      </c>
      <c r="L326" s="5"/>
      <c r="N326" s="11" t="s">
        <v>1077</v>
      </c>
    </row>
    <row r="327" spans="1:15" ht="25.5" hidden="1" customHeight="1">
      <c r="A327" s="2" t="s">
        <v>182</v>
      </c>
      <c r="B327" s="2" t="s">
        <v>1068</v>
      </c>
      <c r="C327" s="2" t="s">
        <v>1078</v>
      </c>
      <c r="D327" s="2" t="s">
        <v>1079</v>
      </c>
      <c r="H327" s="138">
        <v>0</v>
      </c>
      <c r="I327" s="138"/>
      <c r="J327" s="5" t="s">
        <v>323</v>
      </c>
      <c r="K327" s="130" t="s">
        <v>328</v>
      </c>
      <c r="L327" s="5"/>
      <c r="M327" s="5" t="s">
        <v>657</v>
      </c>
    </row>
    <row r="328" spans="1:15" ht="15" hidden="1" customHeight="1">
      <c r="A328" s="2" t="s">
        <v>182</v>
      </c>
      <c r="B328" s="2" t="s">
        <v>1068</v>
      </c>
      <c r="C328" s="2" t="s">
        <v>1080</v>
      </c>
      <c r="D328" s="2" t="s">
        <v>1081</v>
      </c>
      <c r="H328" s="138">
        <v>31</v>
      </c>
      <c r="I328" s="138"/>
      <c r="J328" s="5" t="s">
        <v>323</v>
      </c>
      <c r="K328" s="130" t="s">
        <v>328</v>
      </c>
      <c r="L328" s="5"/>
      <c r="M328" s="5" t="s">
        <v>546</v>
      </c>
    </row>
    <row r="329" spans="1:15" ht="15" hidden="1" customHeight="1">
      <c r="A329" s="2" t="s">
        <v>182</v>
      </c>
      <c r="B329" s="2" t="s">
        <v>1068</v>
      </c>
      <c r="C329" s="2" t="s">
        <v>1082</v>
      </c>
      <c r="D329" s="2" t="s">
        <v>1083</v>
      </c>
      <c r="H329" s="138">
        <v>22</v>
      </c>
      <c r="I329" s="138"/>
      <c r="J329" s="5" t="s">
        <v>323</v>
      </c>
      <c r="K329" s="130" t="s">
        <v>328</v>
      </c>
      <c r="L329" s="5"/>
      <c r="M329" s="5" t="s">
        <v>546</v>
      </c>
    </row>
    <row r="330" spans="1:15" ht="25.5" hidden="1" customHeight="1">
      <c r="A330" s="2" t="s">
        <v>182</v>
      </c>
      <c r="B330" s="2" t="s">
        <v>1068</v>
      </c>
      <c r="C330" s="2" t="s">
        <v>1084</v>
      </c>
      <c r="D330" s="2" t="s">
        <v>1085</v>
      </c>
      <c r="I330" s="138"/>
      <c r="J330" s="5" t="s">
        <v>323</v>
      </c>
      <c r="K330" s="130" t="s">
        <v>329</v>
      </c>
      <c r="L330" s="5" t="s">
        <v>964</v>
      </c>
    </row>
    <row r="331" spans="1:15" ht="15" hidden="1" customHeight="1">
      <c r="A331" s="2" t="s">
        <v>182</v>
      </c>
      <c r="B331" s="2" t="s">
        <v>1068</v>
      </c>
      <c r="C331" s="2" t="s">
        <v>1086</v>
      </c>
      <c r="D331" s="2" t="s">
        <v>1087</v>
      </c>
      <c r="F331" s="129">
        <v>1</v>
      </c>
      <c r="H331" s="138">
        <v>17</v>
      </c>
      <c r="I331" s="138"/>
      <c r="J331" s="5" t="s">
        <v>323</v>
      </c>
      <c r="K331" s="130" t="s">
        <v>328</v>
      </c>
      <c r="L331" s="5"/>
      <c r="M331" s="5" t="s">
        <v>478</v>
      </c>
      <c r="O331" t="s">
        <v>479</v>
      </c>
    </row>
    <row r="332" spans="1:15" ht="15" hidden="1" customHeight="1">
      <c r="A332" s="2" t="s">
        <v>182</v>
      </c>
      <c r="B332" s="2" t="s">
        <v>1068</v>
      </c>
      <c r="C332" s="2" t="s">
        <v>1088</v>
      </c>
      <c r="D332" s="2" t="s">
        <v>1089</v>
      </c>
      <c r="H332" s="138" t="s">
        <v>448</v>
      </c>
      <c r="I332" s="138"/>
      <c r="J332" s="5" t="s">
        <v>323</v>
      </c>
      <c r="K332" s="130" t="s">
        <v>329</v>
      </c>
      <c r="L332" s="5" t="s">
        <v>964</v>
      </c>
    </row>
    <row r="333" spans="1:15" ht="15" hidden="1" customHeight="1">
      <c r="A333" s="2" t="s">
        <v>182</v>
      </c>
      <c r="B333" s="2" t="s">
        <v>1068</v>
      </c>
      <c r="C333" s="2" t="s">
        <v>1090</v>
      </c>
      <c r="D333" s="2" t="s">
        <v>1091</v>
      </c>
      <c r="I333" s="138"/>
      <c r="J333" s="5" t="s">
        <v>323</v>
      </c>
      <c r="K333" s="130" t="s">
        <v>329</v>
      </c>
      <c r="L333" s="5"/>
      <c r="N333" s="11" t="s">
        <v>1092</v>
      </c>
    </row>
    <row r="334" spans="1:15" ht="15" hidden="1" customHeight="1">
      <c r="A334" s="2" t="s">
        <v>182</v>
      </c>
      <c r="B334" s="2" t="s">
        <v>1068</v>
      </c>
      <c r="C334" s="2" t="s">
        <v>1093</v>
      </c>
      <c r="D334" s="2" t="s">
        <v>131</v>
      </c>
      <c r="H334" s="138">
        <v>26</v>
      </c>
      <c r="I334" s="138"/>
      <c r="J334" s="5" t="s">
        <v>323</v>
      </c>
      <c r="K334" s="130" t="s">
        <v>328</v>
      </c>
      <c r="L334" s="5"/>
      <c r="M334" s="5" t="s">
        <v>478</v>
      </c>
    </row>
    <row r="335" spans="1:15" ht="15" hidden="1" customHeight="1">
      <c r="A335" s="2" t="s">
        <v>182</v>
      </c>
      <c r="B335" s="2" t="s">
        <v>1068</v>
      </c>
      <c r="C335" s="2" t="s">
        <v>1094</v>
      </c>
      <c r="D335" s="2" t="s">
        <v>141</v>
      </c>
      <c r="F335" s="129">
        <v>1</v>
      </c>
      <c r="H335" s="138">
        <v>26</v>
      </c>
      <c r="I335" s="138"/>
      <c r="J335" s="5" t="s">
        <v>323</v>
      </c>
      <c r="K335" s="130" t="s">
        <v>328</v>
      </c>
      <c r="L335" s="5"/>
      <c r="M335" s="5" t="s">
        <v>478</v>
      </c>
      <c r="O335" t="s">
        <v>479</v>
      </c>
    </row>
    <row r="336" spans="1:15" ht="15" hidden="1" customHeight="1">
      <c r="A336" s="2" t="s">
        <v>182</v>
      </c>
      <c r="B336" s="2" t="s">
        <v>1068</v>
      </c>
      <c r="C336" s="2" t="s">
        <v>1095</v>
      </c>
      <c r="D336" s="2" t="s">
        <v>132</v>
      </c>
      <c r="I336" s="138"/>
      <c r="J336" s="5" t="s">
        <v>323</v>
      </c>
      <c r="K336" s="130" t="s">
        <v>329</v>
      </c>
      <c r="L336" s="5"/>
      <c r="M336" s="5" t="s">
        <v>1096</v>
      </c>
      <c r="N336" s="11" t="s">
        <v>1097</v>
      </c>
    </row>
    <row r="337" spans="1:15" ht="25.5" hidden="1" customHeight="1">
      <c r="A337" s="2" t="s">
        <v>182</v>
      </c>
      <c r="B337" s="2" t="s">
        <v>1068</v>
      </c>
      <c r="C337" s="2" t="s">
        <v>1098</v>
      </c>
      <c r="D337" s="2" t="s">
        <v>1099</v>
      </c>
      <c r="I337" s="138"/>
      <c r="J337" s="5" t="s">
        <v>323</v>
      </c>
      <c r="K337" s="130" t="s">
        <v>329</v>
      </c>
      <c r="L337" s="5"/>
      <c r="N337" s="11" t="s">
        <v>1100</v>
      </c>
    </row>
    <row r="338" spans="1:15" ht="15" customHeight="1">
      <c r="A338" s="19" t="s">
        <v>182</v>
      </c>
      <c r="B338" s="19" t="s">
        <v>1068</v>
      </c>
      <c r="C338" s="19" t="s">
        <v>1101</v>
      </c>
      <c r="D338" s="19" t="s">
        <v>1102</v>
      </c>
      <c r="F338" s="129">
        <v>1</v>
      </c>
      <c r="I338" s="138"/>
      <c r="J338" s="5" t="s">
        <v>323</v>
      </c>
      <c r="K338" s="130" t="s">
        <v>328</v>
      </c>
      <c r="L338" s="5"/>
      <c r="N338" s="11" t="s">
        <v>1100</v>
      </c>
      <c r="O338" t="s">
        <v>479</v>
      </c>
    </row>
    <row r="339" spans="1:15" ht="15" hidden="1" customHeight="1">
      <c r="A339" s="2" t="s">
        <v>182</v>
      </c>
      <c r="B339" s="2" t="s">
        <v>1068</v>
      </c>
      <c r="C339" s="2" t="s">
        <v>1103</v>
      </c>
      <c r="D339" s="2" t="s">
        <v>1104</v>
      </c>
      <c r="I339" s="138"/>
      <c r="J339" s="5" t="s">
        <v>323</v>
      </c>
      <c r="K339" s="130" t="s">
        <v>328</v>
      </c>
      <c r="L339" s="5"/>
      <c r="M339" s="5" t="s">
        <v>1105</v>
      </c>
      <c r="N339" s="191" t="s">
        <v>1106</v>
      </c>
    </row>
    <row r="340" spans="1:15" ht="15" hidden="1" customHeight="1">
      <c r="A340" s="2" t="s">
        <v>182</v>
      </c>
      <c r="B340" s="2" t="s">
        <v>1068</v>
      </c>
      <c r="C340" s="2" t="s">
        <v>1107</v>
      </c>
      <c r="D340" s="2" t="s">
        <v>1104</v>
      </c>
      <c r="I340" s="138"/>
      <c r="J340" s="5" t="s">
        <v>323</v>
      </c>
      <c r="K340" s="130" t="s">
        <v>328</v>
      </c>
      <c r="L340" s="5"/>
      <c r="M340" s="5" t="s">
        <v>1105</v>
      </c>
      <c r="N340" s="191"/>
    </row>
    <row r="341" spans="1:15" ht="15" hidden="1" customHeight="1">
      <c r="A341" s="2" t="s">
        <v>182</v>
      </c>
      <c r="B341" s="2" t="s">
        <v>1068</v>
      </c>
      <c r="C341" s="2" t="s">
        <v>1108</v>
      </c>
      <c r="D341" s="2" t="s">
        <v>1109</v>
      </c>
      <c r="I341" s="138"/>
      <c r="J341" s="5" t="s">
        <v>323</v>
      </c>
      <c r="K341" s="130" t="s">
        <v>328</v>
      </c>
      <c r="L341" s="5"/>
      <c r="M341" s="5" t="s">
        <v>1105</v>
      </c>
      <c r="N341" s="191"/>
    </row>
    <row r="342" spans="1:15" ht="15" hidden="1" customHeight="1">
      <c r="A342" s="2" t="s">
        <v>182</v>
      </c>
      <c r="B342" s="2" t="s">
        <v>1068</v>
      </c>
      <c r="C342" s="2" t="s">
        <v>1110</v>
      </c>
      <c r="D342" s="2" t="s">
        <v>1109</v>
      </c>
      <c r="I342" s="138"/>
      <c r="J342" s="5" t="s">
        <v>323</v>
      </c>
      <c r="K342" s="130" t="s">
        <v>328</v>
      </c>
      <c r="L342" s="5"/>
      <c r="M342" s="5" t="s">
        <v>1105</v>
      </c>
      <c r="N342" s="191"/>
    </row>
    <row r="343" spans="1:15" ht="15" hidden="1" customHeight="1">
      <c r="A343" s="2" t="s">
        <v>182</v>
      </c>
      <c r="B343" s="2" t="s">
        <v>1068</v>
      </c>
      <c r="C343" s="2" t="s">
        <v>1111</v>
      </c>
      <c r="D343" s="2" t="s">
        <v>1112</v>
      </c>
      <c r="I343" s="138"/>
      <c r="J343" s="5" t="s">
        <v>323</v>
      </c>
      <c r="K343" s="130" t="s">
        <v>328</v>
      </c>
      <c r="L343" s="5"/>
      <c r="M343" s="5" t="s">
        <v>1105</v>
      </c>
      <c r="N343" s="191"/>
    </row>
    <row r="344" spans="1:15" ht="15" hidden="1" customHeight="1">
      <c r="A344" s="2" t="s">
        <v>182</v>
      </c>
      <c r="B344" s="2" t="s">
        <v>1068</v>
      </c>
      <c r="C344" s="2" t="s">
        <v>1113</v>
      </c>
      <c r="D344" s="2" t="s">
        <v>1114</v>
      </c>
      <c r="I344" s="138"/>
      <c r="J344" s="5" t="s">
        <v>323</v>
      </c>
      <c r="K344" s="130" t="s">
        <v>328</v>
      </c>
      <c r="L344" s="5"/>
      <c r="M344" s="5" t="s">
        <v>1105</v>
      </c>
      <c r="N344" s="191"/>
    </row>
    <row r="345" spans="1:15" ht="15" hidden="1" customHeight="1">
      <c r="A345" s="2" t="s">
        <v>182</v>
      </c>
      <c r="B345" s="2" t="s">
        <v>1068</v>
      </c>
      <c r="C345" s="2" t="s">
        <v>1115</v>
      </c>
      <c r="D345" s="2" t="s">
        <v>1116</v>
      </c>
      <c r="I345" s="138"/>
      <c r="J345" s="5" t="s">
        <v>323</v>
      </c>
      <c r="K345" s="130" t="s">
        <v>328</v>
      </c>
      <c r="L345" s="5"/>
      <c r="M345" s="5" t="s">
        <v>1105</v>
      </c>
      <c r="N345" s="191"/>
    </row>
    <row r="346" spans="1:15" ht="15" hidden="1" customHeight="1">
      <c r="A346" s="2" t="s">
        <v>182</v>
      </c>
      <c r="B346" s="2" t="s">
        <v>1117</v>
      </c>
      <c r="C346" s="2" t="s">
        <v>1118</v>
      </c>
      <c r="D346" s="2" t="s">
        <v>1119</v>
      </c>
      <c r="I346" s="138"/>
      <c r="J346" s="5" t="s">
        <v>323</v>
      </c>
      <c r="K346" s="130"/>
      <c r="L346" s="5"/>
    </row>
    <row r="347" spans="1:15" ht="15" hidden="1" customHeight="1">
      <c r="A347" s="2" t="s">
        <v>182</v>
      </c>
      <c r="B347" s="2" t="s">
        <v>1117</v>
      </c>
      <c r="C347" s="2" t="s">
        <v>1120</v>
      </c>
      <c r="D347" s="2" t="s">
        <v>173</v>
      </c>
      <c r="H347" s="138">
        <v>124</v>
      </c>
      <c r="I347" s="138"/>
      <c r="J347" s="5" t="s">
        <v>323</v>
      </c>
      <c r="K347" s="130" t="s">
        <v>328</v>
      </c>
      <c r="L347" s="5"/>
      <c r="M347" s="5" t="s">
        <v>546</v>
      </c>
    </row>
    <row r="348" spans="1:15" ht="15" hidden="1" customHeight="1">
      <c r="A348" s="2" t="s">
        <v>182</v>
      </c>
      <c r="B348" s="2" t="s">
        <v>1117</v>
      </c>
      <c r="C348" s="2" t="s">
        <v>1121</v>
      </c>
      <c r="D348" s="2" t="s">
        <v>1122</v>
      </c>
      <c r="F348" s="129">
        <v>1</v>
      </c>
      <c r="H348" s="138">
        <v>124</v>
      </c>
      <c r="I348" s="138"/>
      <c r="J348" s="5" t="s">
        <v>323</v>
      </c>
      <c r="K348" s="130" t="s">
        <v>328</v>
      </c>
      <c r="L348" s="5"/>
      <c r="M348" s="5" t="s">
        <v>546</v>
      </c>
      <c r="O348" t="s">
        <v>479</v>
      </c>
    </row>
    <row r="349" spans="1:15" ht="15" hidden="1" customHeight="1">
      <c r="A349" s="2" t="s">
        <v>182</v>
      </c>
      <c r="B349" s="2" t="s">
        <v>1117</v>
      </c>
      <c r="C349" s="2" t="s">
        <v>1123</v>
      </c>
      <c r="D349" s="2" t="s">
        <v>1124</v>
      </c>
      <c r="H349" s="138">
        <v>105</v>
      </c>
      <c r="I349" s="138"/>
      <c r="J349" s="5" t="s">
        <v>323</v>
      </c>
      <c r="K349" s="130" t="s">
        <v>328</v>
      </c>
      <c r="L349" s="5"/>
      <c r="M349" s="5" t="s">
        <v>1125</v>
      </c>
    </row>
    <row r="350" spans="1:15" ht="15" hidden="1" customHeight="1">
      <c r="A350" s="2" t="s">
        <v>182</v>
      </c>
      <c r="B350" s="2" t="s">
        <v>1117</v>
      </c>
      <c r="C350" s="2" t="s">
        <v>1126</v>
      </c>
      <c r="D350" s="2" t="s">
        <v>1127</v>
      </c>
      <c r="I350" s="138"/>
      <c r="J350" s="5" t="s">
        <v>323</v>
      </c>
      <c r="K350" s="130" t="s">
        <v>329</v>
      </c>
      <c r="L350" s="5"/>
    </row>
    <row r="351" spans="1:15" ht="15" hidden="1" customHeight="1">
      <c r="A351" s="2" t="s">
        <v>182</v>
      </c>
      <c r="B351" s="2" t="s">
        <v>1117</v>
      </c>
      <c r="C351" s="2" t="s">
        <v>1128</v>
      </c>
      <c r="D351" s="2" t="s">
        <v>1129</v>
      </c>
      <c r="I351" s="138"/>
      <c r="J351" s="5" t="s">
        <v>323</v>
      </c>
      <c r="K351" s="130" t="s">
        <v>330</v>
      </c>
      <c r="L351" s="5"/>
    </row>
    <row r="352" spans="1:15" ht="15" hidden="1" customHeight="1">
      <c r="A352" s="2" t="s">
        <v>182</v>
      </c>
      <c r="B352" s="2" t="s">
        <v>1117</v>
      </c>
      <c r="C352" s="2" t="s">
        <v>1130</v>
      </c>
      <c r="D352" s="2" t="s">
        <v>1131</v>
      </c>
      <c r="H352" s="138">
        <v>19</v>
      </c>
      <c r="I352" s="138"/>
      <c r="J352" s="5" t="s">
        <v>323</v>
      </c>
      <c r="K352" s="130" t="s">
        <v>328</v>
      </c>
      <c r="L352" s="5"/>
      <c r="M352" s="5" t="s">
        <v>546</v>
      </c>
    </row>
    <row r="353" spans="1:15" ht="15" hidden="1" customHeight="1">
      <c r="A353" s="2" t="s">
        <v>182</v>
      </c>
      <c r="B353" s="2" t="s">
        <v>1117</v>
      </c>
      <c r="C353" s="2" t="s">
        <v>1132</v>
      </c>
      <c r="D353" s="2" t="s">
        <v>1021</v>
      </c>
      <c r="I353" s="138"/>
      <c r="J353" s="5" t="s">
        <v>323</v>
      </c>
      <c r="K353" s="130" t="s">
        <v>329</v>
      </c>
      <c r="L353" s="5"/>
    </row>
    <row r="354" spans="1:15" ht="15" hidden="1" customHeight="1">
      <c r="A354" s="2" t="s">
        <v>182</v>
      </c>
      <c r="B354" s="2" t="s">
        <v>1117</v>
      </c>
      <c r="C354" s="2" t="s">
        <v>1133</v>
      </c>
      <c r="D354" s="2" t="s">
        <v>1023</v>
      </c>
      <c r="I354" s="138"/>
      <c r="J354" s="5" t="s">
        <v>323</v>
      </c>
      <c r="K354" s="130" t="s">
        <v>329</v>
      </c>
      <c r="L354" s="5"/>
    </row>
    <row r="355" spans="1:15" ht="15" hidden="1" customHeight="1">
      <c r="A355" s="2" t="s">
        <v>182</v>
      </c>
      <c r="B355" s="2" t="s">
        <v>1117</v>
      </c>
      <c r="C355" s="2" t="s">
        <v>1134</v>
      </c>
      <c r="D355" s="2" t="s">
        <v>1135</v>
      </c>
      <c r="I355" s="138"/>
      <c r="J355" s="5" t="s">
        <v>323</v>
      </c>
      <c r="K355" s="130" t="s">
        <v>329</v>
      </c>
      <c r="L355" s="5"/>
    </row>
    <row r="356" spans="1:15" ht="15" hidden="1" customHeight="1">
      <c r="A356" s="2" t="s">
        <v>182</v>
      </c>
      <c r="B356" s="2" t="s">
        <v>1117</v>
      </c>
      <c r="C356" s="2" t="s">
        <v>1136</v>
      </c>
      <c r="D356" s="2" t="s">
        <v>1137</v>
      </c>
      <c r="I356" s="138"/>
      <c r="J356" s="5" t="s">
        <v>323</v>
      </c>
      <c r="K356" s="130" t="s">
        <v>329</v>
      </c>
      <c r="L356" s="5"/>
    </row>
    <row r="357" spans="1:15" ht="15" hidden="1" customHeight="1">
      <c r="A357" s="2" t="s">
        <v>182</v>
      </c>
      <c r="B357" s="2" t="s">
        <v>1117</v>
      </c>
      <c r="C357" s="2" t="s">
        <v>1138</v>
      </c>
      <c r="D357" s="2" t="s">
        <v>1139</v>
      </c>
      <c r="F357" s="129">
        <v>1</v>
      </c>
      <c r="H357" s="138">
        <v>0</v>
      </c>
      <c r="I357" s="138"/>
      <c r="J357" s="5" t="s">
        <v>323</v>
      </c>
      <c r="K357" s="130" t="s">
        <v>328</v>
      </c>
      <c r="L357" s="5"/>
      <c r="M357" s="5" t="s">
        <v>478</v>
      </c>
      <c r="O357" t="s">
        <v>479</v>
      </c>
    </row>
    <row r="358" spans="1:15" ht="15" hidden="1" customHeight="1">
      <c r="A358" s="2" t="s">
        <v>182</v>
      </c>
      <c r="B358" s="2" t="s">
        <v>1117</v>
      </c>
      <c r="C358" s="2" t="s">
        <v>1140</v>
      </c>
      <c r="D358" s="2" t="s">
        <v>1141</v>
      </c>
      <c r="I358" s="138"/>
      <c r="J358" s="5" t="s">
        <v>323</v>
      </c>
      <c r="K358" s="130" t="s">
        <v>329</v>
      </c>
      <c r="L358" s="5"/>
      <c r="M358" s="5" t="s">
        <v>385</v>
      </c>
    </row>
    <row r="359" spans="1:15" ht="15" customHeight="1">
      <c r="A359" s="2" t="s">
        <v>182</v>
      </c>
      <c r="B359" s="2" t="s">
        <v>1117</v>
      </c>
      <c r="C359" s="2" t="s">
        <v>1142</v>
      </c>
      <c r="D359" s="2" t="s">
        <v>1143</v>
      </c>
      <c r="F359" s="129">
        <v>1</v>
      </c>
      <c r="I359" s="138"/>
      <c r="J359" s="5" t="s">
        <v>323</v>
      </c>
      <c r="K359" s="130" t="s">
        <v>329</v>
      </c>
      <c r="L359" s="5"/>
      <c r="M359" s="5" t="s">
        <v>340</v>
      </c>
      <c r="O359" t="s">
        <v>479</v>
      </c>
    </row>
    <row r="360" spans="1:15" ht="15" hidden="1" customHeight="1">
      <c r="A360" s="2" t="s">
        <v>182</v>
      </c>
      <c r="B360" s="2" t="s">
        <v>1117</v>
      </c>
      <c r="C360" s="2" t="s">
        <v>1144</v>
      </c>
      <c r="D360" s="2" t="s">
        <v>28</v>
      </c>
      <c r="I360" s="138"/>
      <c r="J360" s="5" t="s">
        <v>323</v>
      </c>
      <c r="K360" s="130" t="s">
        <v>329</v>
      </c>
      <c r="L360" s="5"/>
    </row>
    <row r="361" spans="1:15" ht="15" hidden="1" customHeight="1">
      <c r="A361" s="2" t="s">
        <v>182</v>
      </c>
      <c r="B361" s="2" t="s">
        <v>1145</v>
      </c>
      <c r="C361" s="2" t="s">
        <v>1146</v>
      </c>
      <c r="D361" s="2" t="s">
        <v>1147</v>
      </c>
      <c r="I361" s="138"/>
      <c r="J361" s="5" t="s">
        <v>323</v>
      </c>
      <c r="K361" s="130" t="s">
        <v>329</v>
      </c>
      <c r="L361" s="5"/>
      <c r="N361" s="11" t="s">
        <v>1148</v>
      </c>
    </row>
    <row r="362" spans="1:15" ht="15" hidden="1" customHeight="1">
      <c r="A362" s="2" t="s">
        <v>182</v>
      </c>
      <c r="B362" s="2" t="s">
        <v>1145</v>
      </c>
      <c r="C362" s="2" t="s">
        <v>1149</v>
      </c>
      <c r="D362" s="2" t="s">
        <v>1150</v>
      </c>
      <c r="F362" s="129">
        <v>1</v>
      </c>
      <c r="H362" s="138">
        <v>220</v>
      </c>
      <c r="I362" s="138"/>
      <c r="J362" s="5" t="s">
        <v>323</v>
      </c>
      <c r="K362" s="130" t="s">
        <v>328</v>
      </c>
      <c r="L362" s="5"/>
      <c r="M362" s="5" t="s">
        <v>1151</v>
      </c>
      <c r="O362" t="s">
        <v>479</v>
      </c>
    </row>
    <row r="363" spans="1:15" ht="15" hidden="1" customHeight="1">
      <c r="A363" s="2" t="s">
        <v>182</v>
      </c>
      <c r="B363" s="2" t="s">
        <v>1145</v>
      </c>
      <c r="C363" s="2" t="s">
        <v>1152</v>
      </c>
      <c r="D363" s="2" t="s">
        <v>1153</v>
      </c>
      <c r="H363" s="158">
        <v>235</v>
      </c>
      <c r="I363" s="138"/>
      <c r="J363" s="5" t="s">
        <v>323</v>
      </c>
      <c r="K363" s="130" t="s">
        <v>328</v>
      </c>
      <c r="L363" s="5"/>
      <c r="M363" s="5" t="s">
        <v>1154</v>
      </c>
      <c r="N363" s="11" t="s">
        <v>1155</v>
      </c>
    </row>
    <row r="364" spans="1:15" ht="15" hidden="1" customHeight="1">
      <c r="A364" s="2" t="s">
        <v>182</v>
      </c>
      <c r="B364" s="2" t="s">
        <v>1145</v>
      </c>
      <c r="C364" s="2" t="s">
        <v>1156</v>
      </c>
      <c r="D364" s="2" t="s">
        <v>1157</v>
      </c>
      <c r="H364" s="158">
        <v>350</v>
      </c>
      <c r="I364" s="138"/>
      <c r="J364" s="5" t="s">
        <v>323</v>
      </c>
      <c r="K364" s="130" t="s">
        <v>328</v>
      </c>
      <c r="L364" s="5"/>
      <c r="M364" s="5" t="s">
        <v>1154</v>
      </c>
      <c r="N364" s="11" t="s">
        <v>1155</v>
      </c>
    </row>
    <row r="365" spans="1:15" ht="15" hidden="1" customHeight="1">
      <c r="A365" s="2" t="s">
        <v>182</v>
      </c>
      <c r="B365" s="2" t="s">
        <v>1145</v>
      </c>
      <c r="C365" s="2" t="s">
        <v>1158</v>
      </c>
      <c r="D365" s="2" t="s">
        <v>1159</v>
      </c>
      <c r="H365" s="138" t="s">
        <v>1160</v>
      </c>
      <c r="I365" s="138"/>
      <c r="J365" s="5" t="s">
        <v>323</v>
      </c>
      <c r="K365" s="130" t="s">
        <v>328</v>
      </c>
      <c r="L365" s="5"/>
      <c r="M365" s="5" t="s">
        <v>801</v>
      </c>
      <c r="N365" s="11" t="s">
        <v>1161</v>
      </c>
    </row>
    <row r="366" spans="1:15" ht="15" hidden="1" customHeight="1">
      <c r="A366" s="2" t="s">
        <v>182</v>
      </c>
      <c r="B366" s="2" t="s">
        <v>1145</v>
      </c>
      <c r="C366" s="2" t="s">
        <v>1162</v>
      </c>
      <c r="D366" s="2" t="s">
        <v>1163</v>
      </c>
      <c r="I366" s="138"/>
      <c r="J366" s="5" t="s">
        <v>323</v>
      </c>
      <c r="K366" s="130" t="s">
        <v>329</v>
      </c>
      <c r="L366" s="5"/>
    </row>
    <row r="367" spans="1:15" ht="15" hidden="1" customHeight="1">
      <c r="A367" s="2" t="s">
        <v>182</v>
      </c>
      <c r="B367" s="2" t="s">
        <v>1145</v>
      </c>
      <c r="C367" s="2" t="s">
        <v>1164</v>
      </c>
      <c r="D367" s="2" t="s">
        <v>1165</v>
      </c>
      <c r="I367" s="138"/>
      <c r="J367" s="5" t="s">
        <v>323</v>
      </c>
      <c r="K367" s="130" t="s">
        <v>329</v>
      </c>
      <c r="L367" s="5"/>
    </row>
    <row r="368" spans="1:15" ht="15" hidden="1" customHeight="1">
      <c r="A368" s="2" t="s">
        <v>182</v>
      </c>
      <c r="B368" s="2" t="s">
        <v>1145</v>
      </c>
      <c r="C368" s="2" t="s">
        <v>1166</v>
      </c>
      <c r="D368" s="2" t="s">
        <v>1167</v>
      </c>
      <c r="F368" s="129">
        <v>1</v>
      </c>
      <c r="H368" s="138">
        <v>215</v>
      </c>
      <c r="I368" s="138"/>
      <c r="J368" s="5" t="s">
        <v>323</v>
      </c>
      <c r="K368" s="130" t="s">
        <v>328</v>
      </c>
      <c r="L368" s="5"/>
      <c r="O368" t="s">
        <v>479</v>
      </c>
    </row>
    <row r="369" spans="1:15" ht="25.5" hidden="1" customHeight="1">
      <c r="A369" s="2" t="s">
        <v>182</v>
      </c>
      <c r="B369" s="2" t="s">
        <v>1145</v>
      </c>
      <c r="C369" s="2" t="s">
        <v>1168</v>
      </c>
      <c r="D369" s="2" t="s">
        <v>1169</v>
      </c>
      <c r="I369" s="138"/>
      <c r="J369" s="5" t="s">
        <v>323</v>
      </c>
      <c r="K369" s="130" t="s">
        <v>329</v>
      </c>
      <c r="L369" s="5" t="s">
        <v>964</v>
      </c>
    </row>
    <row r="370" spans="1:15" ht="15" hidden="1" customHeight="1">
      <c r="A370" s="2" t="s">
        <v>182</v>
      </c>
      <c r="B370" s="2" t="s">
        <v>1145</v>
      </c>
      <c r="C370" s="2" t="s">
        <v>1170</v>
      </c>
      <c r="D370" s="2" t="s">
        <v>1171</v>
      </c>
      <c r="I370" s="138"/>
      <c r="J370" s="5" t="s">
        <v>323</v>
      </c>
      <c r="K370" s="130" t="s">
        <v>328</v>
      </c>
      <c r="L370" s="5"/>
    </row>
    <row r="371" spans="1:15" ht="15" hidden="1" customHeight="1">
      <c r="A371" s="2" t="s">
        <v>182</v>
      </c>
      <c r="B371" s="2" t="s">
        <v>1145</v>
      </c>
      <c r="C371" s="2" t="s">
        <v>1172</v>
      </c>
      <c r="D371" s="2" t="s">
        <v>1173</v>
      </c>
      <c r="F371" s="129">
        <v>1</v>
      </c>
      <c r="H371" s="138">
        <v>5</v>
      </c>
      <c r="I371" s="138"/>
      <c r="J371" s="5" t="s">
        <v>323</v>
      </c>
      <c r="K371" s="130" t="s">
        <v>328</v>
      </c>
      <c r="L371" s="5"/>
      <c r="O371" t="s">
        <v>479</v>
      </c>
    </row>
    <row r="372" spans="1:15" ht="15" hidden="1" customHeight="1">
      <c r="A372" s="2" t="s">
        <v>182</v>
      </c>
      <c r="B372" s="102" t="s">
        <v>336</v>
      </c>
      <c r="C372" s="2" t="s">
        <v>1174</v>
      </c>
      <c r="D372" s="2" t="s">
        <v>1175</v>
      </c>
      <c r="I372" s="138"/>
      <c r="J372" s="5" t="s">
        <v>323</v>
      </c>
      <c r="K372" s="130" t="s">
        <v>330</v>
      </c>
      <c r="L372" s="5"/>
    </row>
    <row r="373" spans="1:15" ht="30" hidden="1" customHeight="1">
      <c r="A373" s="2" t="s">
        <v>182</v>
      </c>
      <c r="B373" s="102" t="s">
        <v>336</v>
      </c>
      <c r="C373" s="2" t="s">
        <v>1176</v>
      </c>
      <c r="D373" s="2" t="s">
        <v>1177</v>
      </c>
      <c r="F373" s="129">
        <v>1</v>
      </c>
      <c r="H373" s="138">
        <v>314</v>
      </c>
      <c r="I373" s="138"/>
      <c r="J373" s="5" t="s">
        <v>323</v>
      </c>
      <c r="K373" s="130" t="s">
        <v>328</v>
      </c>
      <c r="L373" s="5"/>
      <c r="M373" s="5" t="s">
        <v>1151</v>
      </c>
      <c r="N373" s="11" t="s">
        <v>1178</v>
      </c>
      <c r="O373" t="s">
        <v>479</v>
      </c>
    </row>
    <row r="374" spans="1:15" ht="15" hidden="1" customHeight="1">
      <c r="A374" s="2" t="s">
        <v>182</v>
      </c>
      <c r="B374" s="102" t="s">
        <v>336</v>
      </c>
      <c r="C374" s="2" t="s">
        <v>1179</v>
      </c>
      <c r="D374" s="2" t="s">
        <v>394</v>
      </c>
      <c r="H374" s="138">
        <v>78</v>
      </c>
      <c r="I374" s="138"/>
      <c r="J374" s="5" t="s">
        <v>323</v>
      </c>
      <c r="K374" s="130" t="s">
        <v>328</v>
      </c>
      <c r="L374" s="5"/>
      <c r="M374" s="5" t="s">
        <v>385</v>
      </c>
      <c r="N374" s="11" t="s">
        <v>1180</v>
      </c>
    </row>
    <row r="375" spans="1:15" ht="15" hidden="1" customHeight="1">
      <c r="A375" s="2" t="s">
        <v>182</v>
      </c>
      <c r="B375" s="102" t="s">
        <v>336</v>
      </c>
      <c r="C375" s="2" t="s">
        <v>1181</v>
      </c>
      <c r="D375" s="2" t="s">
        <v>1182</v>
      </c>
      <c r="F375" s="129">
        <v>1</v>
      </c>
      <c r="H375" s="138">
        <v>81</v>
      </c>
      <c r="I375" s="138"/>
      <c r="J375" s="5" t="s">
        <v>323</v>
      </c>
      <c r="K375" s="130" t="s">
        <v>328</v>
      </c>
      <c r="L375" s="5"/>
      <c r="M375" s="5" t="s">
        <v>478</v>
      </c>
      <c r="N375" s="11" t="s">
        <v>1183</v>
      </c>
      <c r="O375" t="s">
        <v>479</v>
      </c>
    </row>
    <row r="376" spans="1:15" ht="25.5" hidden="1" customHeight="1">
      <c r="A376" s="2" t="s">
        <v>182</v>
      </c>
      <c r="B376" s="102" t="s">
        <v>336</v>
      </c>
      <c r="C376" s="2" t="s">
        <v>1184</v>
      </c>
      <c r="D376" s="2" t="s">
        <v>1185</v>
      </c>
      <c r="H376" s="138" t="s">
        <v>1160</v>
      </c>
      <c r="I376" s="138"/>
      <c r="J376" s="5" t="s">
        <v>323</v>
      </c>
      <c r="K376" s="130" t="s">
        <v>328</v>
      </c>
      <c r="L376" s="5"/>
      <c r="M376" s="5" t="s">
        <v>1186</v>
      </c>
      <c r="N376" s="11" t="s">
        <v>1187</v>
      </c>
    </row>
    <row r="377" spans="1:15" ht="15" hidden="1" customHeight="1">
      <c r="A377" s="2" t="s">
        <v>182</v>
      </c>
      <c r="B377" s="102" t="s">
        <v>336</v>
      </c>
      <c r="C377" s="2" t="s">
        <v>1188</v>
      </c>
      <c r="D377" s="2" t="s">
        <v>1189</v>
      </c>
      <c r="I377" s="138"/>
      <c r="J377" s="5" t="s">
        <v>323</v>
      </c>
      <c r="K377" s="130" t="s">
        <v>330</v>
      </c>
      <c r="L377" s="5" t="s">
        <v>964</v>
      </c>
      <c r="M377" s="5" t="s">
        <v>715</v>
      </c>
    </row>
    <row r="378" spans="1:15" ht="15" hidden="1" customHeight="1">
      <c r="A378" s="2" t="s">
        <v>182</v>
      </c>
      <c r="B378" s="102" t="s">
        <v>336</v>
      </c>
      <c r="C378" s="2" t="s">
        <v>1190</v>
      </c>
      <c r="D378" s="2" t="s">
        <v>1191</v>
      </c>
      <c r="H378" s="138">
        <v>30</v>
      </c>
      <c r="I378" s="138"/>
      <c r="J378" s="5" t="s">
        <v>323</v>
      </c>
      <c r="K378" s="130"/>
      <c r="L378" s="5"/>
      <c r="M378" s="5" t="s">
        <v>1151</v>
      </c>
    </row>
    <row r="379" spans="1:15" ht="25.5" hidden="1" customHeight="1">
      <c r="A379" s="2" t="s">
        <v>182</v>
      </c>
      <c r="B379" s="102" t="s">
        <v>336</v>
      </c>
      <c r="C379" s="2" t="s">
        <v>1192</v>
      </c>
      <c r="D379" s="2" t="s">
        <v>1193</v>
      </c>
      <c r="H379" s="138">
        <v>99</v>
      </c>
      <c r="I379" s="138"/>
      <c r="J379" s="5" t="s">
        <v>323</v>
      </c>
      <c r="K379" s="130"/>
      <c r="L379" s="5"/>
      <c r="M379" s="5" t="s">
        <v>478</v>
      </c>
    </row>
    <row r="380" spans="1:15" ht="15" hidden="1" customHeight="1">
      <c r="A380" s="2" t="s">
        <v>182</v>
      </c>
      <c r="B380" s="102" t="s">
        <v>336</v>
      </c>
      <c r="C380" s="2" t="s">
        <v>1194</v>
      </c>
      <c r="D380" s="2" t="s">
        <v>1195</v>
      </c>
      <c r="H380" s="138" t="s">
        <v>1160</v>
      </c>
      <c r="I380" s="138"/>
      <c r="J380" s="5" t="s">
        <v>323</v>
      </c>
      <c r="K380" s="130"/>
      <c r="L380" s="5"/>
      <c r="M380" s="5" t="s">
        <v>478</v>
      </c>
      <c r="N380" s="11" t="s">
        <v>1183</v>
      </c>
    </row>
    <row r="381" spans="1:15" ht="15" hidden="1" customHeight="1">
      <c r="A381" s="2" t="s">
        <v>182</v>
      </c>
      <c r="B381" s="102" t="s">
        <v>336</v>
      </c>
      <c r="C381" s="2" t="s">
        <v>1196</v>
      </c>
      <c r="D381" s="2" t="s">
        <v>1197</v>
      </c>
      <c r="H381" s="138" t="s">
        <v>1160</v>
      </c>
      <c r="I381" s="138"/>
      <c r="J381" s="5" t="s">
        <v>323</v>
      </c>
      <c r="K381" s="130"/>
      <c r="L381" s="5"/>
      <c r="M381" s="5" t="s">
        <v>478</v>
      </c>
      <c r="N381" s="11" t="s">
        <v>1183</v>
      </c>
    </row>
    <row r="382" spans="1:15" ht="15" hidden="1" customHeight="1">
      <c r="A382" s="2" t="s">
        <v>182</v>
      </c>
      <c r="B382" s="102" t="s">
        <v>336</v>
      </c>
      <c r="C382" s="2" t="s">
        <v>1198</v>
      </c>
      <c r="D382" s="2" t="s">
        <v>1199</v>
      </c>
      <c r="H382" s="138" t="s">
        <v>1160</v>
      </c>
      <c r="I382" s="138"/>
      <c r="J382" s="5" t="s">
        <v>323</v>
      </c>
      <c r="K382" s="130"/>
      <c r="L382" s="5"/>
      <c r="M382" s="5" t="s">
        <v>478</v>
      </c>
      <c r="N382" s="11" t="s">
        <v>1183</v>
      </c>
    </row>
    <row r="383" spans="1:15" ht="15" hidden="1" customHeight="1">
      <c r="A383" s="2" t="s">
        <v>182</v>
      </c>
      <c r="B383" s="102" t="s">
        <v>336</v>
      </c>
      <c r="C383" s="2" t="s">
        <v>1200</v>
      </c>
      <c r="D383" s="2" t="s">
        <v>1201</v>
      </c>
      <c r="H383" s="138" t="s">
        <v>1160</v>
      </c>
      <c r="I383" s="138"/>
      <c r="J383" s="5" t="s">
        <v>323</v>
      </c>
      <c r="K383" s="130"/>
      <c r="L383" s="5"/>
      <c r="M383" s="5" t="s">
        <v>478</v>
      </c>
      <c r="N383" s="11" t="s">
        <v>1183</v>
      </c>
    </row>
    <row r="384" spans="1:15" ht="15" hidden="1" customHeight="1">
      <c r="A384" s="2" t="s">
        <v>182</v>
      </c>
      <c r="B384" s="102" t="s">
        <v>336</v>
      </c>
      <c r="C384" s="2" t="s">
        <v>1202</v>
      </c>
      <c r="D384" s="2" t="s">
        <v>1203</v>
      </c>
      <c r="H384" s="138" t="s">
        <v>1160</v>
      </c>
      <c r="I384" s="138"/>
      <c r="J384" s="5" t="s">
        <v>323</v>
      </c>
      <c r="K384" s="130"/>
      <c r="L384" s="5"/>
      <c r="M384" s="5" t="s">
        <v>478</v>
      </c>
      <c r="N384" s="11" t="s">
        <v>1183</v>
      </c>
    </row>
    <row r="385" spans="1:15" ht="25.5" hidden="1" customHeight="1">
      <c r="A385" s="2" t="s">
        <v>182</v>
      </c>
      <c r="B385" s="102" t="s">
        <v>336</v>
      </c>
      <c r="C385" s="2" t="s">
        <v>1204</v>
      </c>
      <c r="D385" s="2" t="s">
        <v>1205</v>
      </c>
      <c r="H385" s="138" t="s">
        <v>1160</v>
      </c>
      <c r="I385" s="138"/>
      <c r="J385" s="5" t="s">
        <v>323</v>
      </c>
      <c r="K385" s="130"/>
      <c r="L385" s="5"/>
      <c r="M385" s="5" t="s">
        <v>478</v>
      </c>
      <c r="N385" s="11" t="s">
        <v>1183</v>
      </c>
    </row>
    <row r="386" spans="1:15" ht="15" customHeight="1">
      <c r="A386" s="19" t="s">
        <v>182</v>
      </c>
      <c r="B386" s="19" t="s">
        <v>337</v>
      </c>
      <c r="C386" s="19" t="s">
        <v>1206</v>
      </c>
      <c r="D386" s="19" t="s">
        <v>1207</v>
      </c>
      <c r="F386" s="129">
        <v>1</v>
      </c>
      <c r="I386" s="138"/>
      <c r="J386" s="5" t="s">
        <v>323</v>
      </c>
      <c r="K386" s="130" t="s">
        <v>329</v>
      </c>
      <c r="L386" s="5"/>
    </row>
    <row r="387" spans="1:15" ht="15" hidden="1" customHeight="1">
      <c r="A387" s="2" t="s">
        <v>9</v>
      </c>
      <c r="B387" s="26" t="s">
        <v>333</v>
      </c>
      <c r="C387" s="2" t="s">
        <v>1208</v>
      </c>
      <c r="D387" s="2" t="s">
        <v>1175</v>
      </c>
      <c r="I387" s="138"/>
      <c r="J387" s="5" t="s">
        <v>323</v>
      </c>
      <c r="K387" s="130" t="s">
        <v>330</v>
      </c>
      <c r="L387" s="5"/>
    </row>
    <row r="388" spans="1:15" ht="15" hidden="1" customHeight="1">
      <c r="A388" s="2" t="s">
        <v>9</v>
      </c>
      <c r="B388" s="26" t="s">
        <v>333</v>
      </c>
      <c r="C388" s="2" t="s">
        <v>1209</v>
      </c>
      <c r="D388" s="2" t="s">
        <v>991</v>
      </c>
      <c r="I388" s="138"/>
      <c r="J388" s="5" t="s">
        <v>323</v>
      </c>
      <c r="K388" s="130" t="s">
        <v>329</v>
      </c>
      <c r="L388" s="5"/>
    </row>
    <row r="389" spans="1:15" ht="15" hidden="1" customHeight="1">
      <c r="A389" s="2" t="s">
        <v>9</v>
      </c>
      <c r="B389" s="26" t="s">
        <v>333</v>
      </c>
      <c r="C389" s="2" t="s">
        <v>1210</v>
      </c>
      <c r="D389" s="2" t="s">
        <v>1211</v>
      </c>
      <c r="I389" s="138"/>
      <c r="J389" s="5" t="s">
        <v>323</v>
      </c>
      <c r="K389" s="130" t="s">
        <v>330</v>
      </c>
      <c r="L389" s="5"/>
    </row>
    <row r="390" spans="1:15" ht="15" hidden="1" customHeight="1">
      <c r="A390" s="2" t="s">
        <v>9</v>
      </c>
      <c r="B390" s="26" t="s">
        <v>333</v>
      </c>
      <c r="C390" s="2" t="s">
        <v>1212</v>
      </c>
      <c r="D390" s="2" t="s">
        <v>1213</v>
      </c>
      <c r="F390" s="129">
        <v>1</v>
      </c>
      <c r="G390" s="138">
        <v>15784</v>
      </c>
      <c r="H390" s="138">
        <v>15575</v>
      </c>
      <c r="I390" s="140">
        <f>1-(G390/H390)</f>
        <v>-1.3418940609951857E-2</v>
      </c>
      <c r="J390" s="5" t="s">
        <v>321</v>
      </c>
      <c r="K390" s="130" t="s">
        <v>328</v>
      </c>
      <c r="L390" s="5"/>
      <c r="M390" s="5" t="s">
        <v>385</v>
      </c>
      <c r="O390" t="s">
        <v>479</v>
      </c>
    </row>
    <row r="391" spans="1:15" ht="15" hidden="1" customHeight="1">
      <c r="A391" s="2" t="s">
        <v>9</v>
      </c>
      <c r="B391" s="26" t="s">
        <v>333</v>
      </c>
      <c r="C391" s="2" t="s">
        <v>1214</v>
      </c>
      <c r="D391" s="2" t="s">
        <v>394</v>
      </c>
      <c r="G391" s="138">
        <v>4877</v>
      </c>
      <c r="H391" s="138">
        <v>4872</v>
      </c>
      <c r="I391" s="140">
        <f>1-(G391/H391)</f>
        <v>-1.0262725779968118E-3</v>
      </c>
      <c r="J391" s="5" t="s">
        <v>321</v>
      </c>
      <c r="K391" s="130" t="s">
        <v>328</v>
      </c>
      <c r="L391" s="5"/>
      <c r="M391" s="5" t="s">
        <v>385</v>
      </c>
    </row>
    <row r="392" spans="1:15" ht="15" customHeight="1">
      <c r="A392" s="2" t="s">
        <v>9</v>
      </c>
      <c r="B392" s="26" t="s">
        <v>333</v>
      </c>
      <c r="C392" s="2" t="s">
        <v>1215</v>
      </c>
      <c r="D392" s="2" t="s">
        <v>998</v>
      </c>
      <c r="F392" s="129">
        <v>1</v>
      </c>
      <c r="I392" s="138"/>
      <c r="J392" s="5" t="s">
        <v>323</v>
      </c>
      <c r="K392" s="130" t="s">
        <v>329</v>
      </c>
      <c r="L392" s="5"/>
    </row>
    <row r="393" spans="1:15" ht="25.5" hidden="1" customHeight="1">
      <c r="A393" s="2" t="s">
        <v>9</v>
      </c>
      <c r="B393" s="26" t="s">
        <v>333</v>
      </c>
      <c r="C393" s="2" t="s">
        <v>1216</v>
      </c>
      <c r="D393" s="2" t="s">
        <v>1001</v>
      </c>
      <c r="I393" s="138"/>
      <c r="J393" s="5" t="s">
        <v>323</v>
      </c>
      <c r="K393" s="130" t="s">
        <v>329</v>
      </c>
      <c r="L393" s="5"/>
    </row>
    <row r="394" spans="1:15" ht="25.5" hidden="1" customHeight="1">
      <c r="A394" s="2" t="s">
        <v>9</v>
      </c>
      <c r="B394" s="26" t="s">
        <v>333</v>
      </c>
      <c r="C394" s="2" t="s">
        <v>1217</v>
      </c>
      <c r="D394" s="2" t="s">
        <v>1003</v>
      </c>
      <c r="I394" s="138"/>
      <c r="J394" s="5" t="s">
        <v>323</v>
      </c>
      <c r="K394" s="130" t="s">
        <v>329</v>
      </c>
      <c r="L394" s="5"/>
      <c r="M394" s="5" t="s">
        <v>1218</v>
      </c>
    </row>
    <row r="395" spans="1:15" ht="45" hidden="1" customHeight="1">
      <c r="A395" s="2" t="s">
        <v>9</v>
      </c>
      <c r="B395" s="26" t="s">
        <v>333</v>
      </c>
      <c r="C395" s="2" t="s">
        <v>1219</v>
      </c>
      <c r="D395" s="2" t="s">
        <v>115</v>
      </c>
      <c r="F395" s="129">
        <v>1</v>
      </c>
      <c r="H395" s="138">
        <f>892+4379</f>
        <v>5271</v>
      </c>
      <c r="I395" s="138"/>
      <c r="J395" s="5" t="s">
        <v>323</v>
      </c>
      <c r="K395" s="130" t="s">
        <v>328</v>
      </c>
      <c r="L395" s="5"/>
      <c r="M395" s="5" t="s">
        <v>1220</v>
      </c>
      <c r="N395" s="11" t="s">
        <v>1221</v>
      </c>
      <c r="O395" t="s">
        <v>479</v>
      </c>
    </row>
    <row r="396" spans="1:15" ht="15" hidden="1" customHeight="1">
      <c r="A396" s="2" t="s">
        <v>9</v>
      </c>
      <c r="B396" s="26" t="s">
        <v>333</v>
      </c>
      <c r="C396" s="2" t="s">
        <v>1222</v>
      </c>
      <c r="D396" s="2" t="s">
        <v>489</v>
      </c>
      <c r="I396" s="138"/>
      <c r="J396" s="5" t="s">
        <v>323</v>
      </c>
      <c r="K396" s="130" t="s">
        <v>328</v>
      </c>
      <c r="L396" s="5"/>
    </row>
    <row r="397" spans="1:15" ht="25.5" hidden="1" customHeight="1">
      <c r="A397" s="2" t="s">
        <v>9</v>
      </c>
      <c r="B397" s="26" t="s">
        <v>333</v>
      </c>
      <c r="C397" s="2" t="s">
        <v>1223</v>
      </c>
      <c r="D397" s="2" t="s">
        <v>481</v>
      </c>
      <c r="I397" s="138"/>
      <c r="J397" s="5" t="s">
        <v>323</v>
      </c>
      <c r="K397" s="130" t="s">
        <v>328</v>
      </c>
      <c r="L397" s="5"/>
    </row>
    <row r="398" spans="1:15" ht="45" hidden="1" customHeight="1">
      <c r="A398" s="2" t="s">
        <v>9</v>
      </c>
      <c r="B398" s="26" t="s">
        <v>333</v>
      </c>
      <c r="C398" s="2" t="s">
        <v>1224</v>
      </c>
      <c r="D398" s="2" t="s">
        <v>1010</v>
      </c>
      <c r="H398" s="138">
        <v>892</v>
      </c>
      <c r="I398" s="138"/>
      <c r="J398" s="5" t="s">
        <v>323</v>
      </c>
      <c r="K398" s="130" t="s">
        <v>328</v>
      </c>
      <c r="L398" s="5"/>
      <c r="M398" s="5" t="s">
        <v>1220</v>
      </c>
      <c r="N398" s="11" t="s">
        <v>1225</v>
      </c>
    </row>
    <row r="399" spans="1:15" ht="15" hidden="1" customHeight="1">
      <c r="A399" s="2" t="s">
        <v>9</v>
      </c>
      <c r="B399" s="26" t="s">
        <v>333</v>
      </c>
      <c r="C399" s="2" t="s">
        <v>1226</v>
      </c>
      <c r="D399" s="2" t="s">
        <v>452</v>
      </c>
      <c r="I399" s="138"/>
      <c r="J399" s="5" t="s">
        <v>323</v>
      </c>
      <c r="K399" s="130" t="s">
        <v>329</v>
      </c>
      <c r="L399" s="5"/>
    </row>
    <row r="400" spans="1:15" ht="75" hidden="1" customHeight="1">
      <c r="A400" s="2" t="s">
        <v>9</v>
      </c>
      <c r="B400" s="26" t="s">
        <v>333</v>
      </c>
      <c r="C400" s="2" t="s">
        <v>1227</v>
      </c>
      <c r="D400" s="2" t="s">
        <v>1015</v>
      </c>
      <c r="F400" s="129">
        <v>1</v>
      </c>
      <c r="H400" s="138">
        <v>892</v>
      </c>
      <c r="I400" s="138"/>
      <c r="J400" s="5" t="s">
        <v>323</v>
      </c>
      <c r="K400" s="130" t="s">
        <v>328</v>
      </c>
      <c r="L400" s="5"/>
      <c r="M400" s="5" t="s">
        <v>1220</v>
      </c>
      <c r="N400" s="11" t="s">
        <v>1228</v>
      </c>
      <c r="O400" t="s">
        <v>479</v>
      </c>
    </row>
    <row r="401" spans="1:15" ht="15" hidden="1" customHeight="1">
      <c r="A401" s="2" t="s">
        <v>9</v>
      </c>
      <c r="B401" s="26" t="s">
        <v>333</v>
      </c>
      <c r="C401" s="2" t="s">
        <v>1229</v>
      </c>
      <c r="D401" s="2" t="s">
        <v>1017</v>
      </c>
      <c r="I401" s="138"/>
      <c r="J401" s="5" t="s">
        <v>323</v>
      </c>
      <c r="K401" s="130" t="s">
        <v>329</v>
      </c>
      <c r="L401" s="5"/>
    </row>
    <row r="402" spans="1:15" ht="15" hidden="1" customHeight="1">
      <c r="A402" s="2" t="s">
        <v>9</v>
      </c>
      <c r="B402" s="26" t="s">
        <v>333</v>
      </c>
      <c r="C402" s="2" t="s">
        <v>1230</v>
      </c>
      <c r="D402" s="2" t="s">
        <v>1231</v>
      </c>
      <c r="I402" s="138"/>
      <c r="J402" s="5" t="s">
        <v>323</v>
      </c>
      <c r="K402" s="130" t="s">
        <v>329</v>
      </c>
      <c r="L402" s="5"/>
    </row>
    <row r="403" spans="1:15" ht="15" hidden="1" customHeight="1">
      <c r="A403" s="2" t="s">
        <v>9</v>
      </c>
      <c r="B403" s="26" t="s">
        <v>333</v>
      </c>
      <c r="C403" s="2" t="s">
        <v>1232</v>
      </c>
      <c r="D403" s="2" t="s">
        <v>1021</v>
      </c>
      <c r="I403" s="138"/>
      <c r="J403" s="5" t="s">
        <v>323</v>
      </c>
      <c r="K403" s="130" t="s">
        <v>329</v>
      </c>
      <c r="L403" s="5"/>
    </row>
    <row r="404" spans="1:15" ht="15" hidden="1" customHeight="1">
      <c r="A404" s="2" t="s">
        <v>9</v>
      </c>
      <c r="B404" s="26" t="s">
        <v>333</v>
      </c>
      <c r="C404" s="2" t="s">
        <v>1233</v>
      </c>
      <c r="D404" s="2" t="s">
        <v>1023</v>
      </c>
      <c r="I404" s="138"/>
      <c r="J404" s="5" t="s">
        <v>323</v>
      </c>
      <c r="K404" s="130" t="s">
        <v>329</v>
      </c>
      <c r="L404" s="5"/>
    </row>
    <row r="405" spans="1:15" ht="15" hidden="1" customHeight="1">
      <c r="A405" s="2" t="s">
        <v>9</v>
      </c>
      <c r="B405" s="26" t="s">
        <v>333</v>
      </c>
      <c r="C405" s="2" t="s">
        <v>1234</v>
      </c>
      <c r="D405" s="2" t="s">
        <v>1048</v>
      </c>
      <c r="I405" s="138"/>
      <c r="J405" s="5" t="s">
        <v>323</v>
      </c>
      <c r="K405" s="130" t="s">
        <v>329</v>
      </c>
      <c r="L405" s="5"/>
    </row>
    <row r="406" spans="1:15" ht="25.5" hidden="1" customHeight="1">
      <c r="A406" s="2" t="s">
        <v>9</v>
      </c>
      <c r="B406" s="26" t="s">
        <v>333</v>
      </c>
      <c r="C406" s="2" t="s">
        <v>1235</v>
      </c>
      <c r="D406" s="2" t="s">
        <v>1051</v>
      </c>
      <c r="I406" s="138"/>
      <c r="J406" s="5" t="s">
        <v>323</v>
      </c>
      <c r="K406" s="130" t="s">
        <v>329</v>
      </c>
      <c r="L406" s="5"/>
    </row>
    <row r="407" spans="1:15" ht="30" hidden="1" customHeight="1">
      <c r="A407" s="2" t="s">
        <v>9</v>
      </c>
      <c r="B407" s="26" t="s">
        <v>333</v>
      </c>
      <c r="C407" s="2" t="s">
        <v>1236</v>
      </c>
      <c r="D407" s="2" t="s">
        <v>120</v>
      </c>
      <c r="F407" s="129">
        <v>1</v>
      </c>
      <c r="H407" s="138">
        <v>892</v>
      </c>
      <c r="I407" s="138"/>
      <c r="J407" s="5" t="s">
        <v>323</v>
      </c>
      <c r="K407" s="130" t="s">
        <v>328</v>
      </c>
      <c r="L407" s="5"/>
      <c r="M407" s="5" t="s">
        <v>1220</v>
      </c>
      <c r="N407" s="11" t="s">
        <v>1237</v>
      </c>
      <c r="O407" t="s">
        <v>479</v>
      </c>
    </row>
    <row r="408" spans="1:15" ht="25.5" hidden="1" customHeight="1">
      <c r="A408" s="2" t="s">
        <v>9</v>
      </c>
      <c r="B408" s="26" t="s">
        <v>333</v>
      </c>
      <c r="C408" s="2" t="s">
        <v>1238</v>
      </c>
      <c r="D408" s="2" t="s">
        <v>1239</v>
      </c>
      <c r="I408" s="138"/>
      <c r="J408" s="5" t="s">
        <v>323</v>
      </c>
      <c r="K408" s="130" t="s">
        <v>329</v>
      </c>
      <c r="L408" s="5"/>
    </row>
    <row r="409" spans="1:15" ht="15" hidden="1" customHeight="1">
      <c r="A409" s="2" t="s">
        <v>9</v>
      </c>
      <c r="B409" s="26" t="s">
        <v>333</v>
      </c>
      <c r="C409" s="2" t="s">
        <v>1240</v>
      </c>
      <c r="D409" s="2" t="s">
        <v>496</v>
      </c>
      <c r="F409" s="129">
        <v>1</v>
      </c>
      <c r="H409" s="138">
        <v>4006</v>
      </c>
      <c r="I409" s="138"/>
      <c r="J409" s="5" t="s">
        <v>323</v>
      </c>
      <c r="K409" s="130" t="s">
        <v>328</v>
      </c>
      <c r="L409" s="5"/>
      <c r="M409" s="5" t="s">
        <v>478</v>
      </c>
      <c r="N409" s="11" t="s">
        <v>1241</v>
      </c>
      <c r="O409" t="s">
        <v>479</v>
      </c>
    </row>
    <row r="410" spans="1:15" ht="15" hidden="1" customHeight="1">
      <c r="A410" s="2" t="s">
        <v>9</v>
      </c>
      <c r="B410" s="26" t="s">
        <v>333</v>
      </c>
      <c r="C410" s="2" t="s">
        <v>1242</v>
      </c>
      <c r="D410" s="2" t="s">
        <v>500</v>
      </c>
      <c r="I410" s="138"/>
      <c r="J410" s="5" t="s">
        <v>323</v>
      </c>
      <c r="K410" s="130" t="s">
        <v>329</v>
      </c>
      <c r="L410" s="5"/>
    </row>
    <row r="411" spans="1:15" ht="15" hidden="1" customHeight="1">
      <c r="A411" s="2" t="s">
        <v>9</v>
      </c>
      <c r="B411" s="26" t="s">
        <v>333</v>
      </c>
      <c r="C411" s="2" t="s">
        <v>1243</v>
      </c>
      <c r="D411" s="2" t="s">
        <v>504</v>
      </c>
      <c r="I411" s="138"/>
      <c r="J411" s="5" t="s">
        <v>323</v>
      </c>
      <c r="K411" s="130" t="s">
        <v>328</v>
      </c>
      <c r="L411" s="5"/>
    </row>
    <row r="412" spans="1:15" ht="15" hidden="1" customHeight="1">
      <c r="A412" s="2" t="s">
        <v>9</v>
      </c>
      <c r="B412" s="26" t="s">
        <v>333</v>
      </c>
      <c r="C412" s="2" t="s">
        <v>1244</v>
      </c>
      <c r="D412" s="2" t="s">
        <v>1245</v>
      </c>
      <c r="H412" s="138">
        <v>6</v>
      </c>
      <c r="I412" s="138"/>
      <c r="J412" s="5" t="s">
        <v>323</v>
      </c>
      <c r="K412" s="130" t="s">
        <v>328</v>
      </c>
      <c r="L412" s="5"/>
      <c r="M412" s="5" t="s">
        <v>1220</v>
      </c>
    </row>
    <row r="413" spans="1:15" ht="15" hidden="1" customHeight="1">
      <c r="A413" s="2" t="s">
        <v>9</v>
      </c>
      <c r="B413" s="26" t="s">
        <v>333</v>
      </c>
      <c r="C413" s="2" t="s">
        <v>1246</v>
      </c>
      <c r="D413" s="2" t="s">
        <v>1247</v>
      </c>
      <c r="H413" s="138">
        <v>463</v>
      </c>
      <c r="I413" s="138"/>
      <c r="J413" s="5" t="s">
        <v>323</v>
      </c>
      <c r="K413" s="130" t="s">
        <v>328</v>
      </c>
      <c r="L413" s="5"/>
      <c r="M413" s="5" t="s">
        <v>1220</v>
      </c>
    </row>
    <row r="414" spans="1:15" ht="15" hidden="1" customHeight="1">
      <c r="A414" s="2" t="s">
        <v>9</v>
      </c>
      <c r="B414" s="26" t="s">
        <v>333</v>
      </c>
      <c r="C414" s="2" t="s">
        <v>1248</v>
      </c>
      <c r="D414" s="2" t="s">
        <v>1249</v>
      </c>
      <c r="H414" s="138">
        <v>21</v>
      </c>
      <c r="I414" s="138"/>
      <c r="J414" s="5" t="s">
        <v>323</v>
      </c>
      <c r="K414" s="130" t="s">
        <v>328</v>
      </c>
      <c r="L414" s="5"/>
      <c r="M414" s="5" t="s">
        <v>1220</v>
      </c>
    </row>
    <row r="415" spans="1:15" ht="14.45" hidden="1" customHeight="1">
      <c r="A415" s="2" t="s">
        <v>9</v>
      </c>
      <c r="B415" s="26" t="s">
        <v>333</v>
      </c>
      <c r="C415" s="2" t="s">
        <v>1250</v>
      </c>
      <c r="D415" s="2" t="s">
        <v>1037</v>
      </c>
      <c r="H415" s="192">
        <v>4379</v>
      </c>
      <c r="I415" s="138"/>
      <c r="J415" s="5" t="s">
        <v>323</v>
      </c>
      <c r="K415" s="130" t="s">
        <v>328</v>
      </c>
      <c r="L415" s="5"/>
      <c r="M415" s="5" t="s">
        <v>1220</v>
      </c>
      <c r="N415" s="11" t="s">
        <v>1251</v>
      </c>
    </row>
    <row r="416" spans="1:15" ht="14.45" hidden="1" customHeight="1">
      <c r="A416" s="2" t="s">
        <v>9</v>
      </c>
      <c r="B416" s="26" t="s">
        <v>333</v>
      </c>
      <c r="C416" s="2" t="s">
        <v>1252</v>
      </c>
      <c r="D416" s="2" t="s">
        <v>1253</v>
      </c>
      <c r="H416" s="192"/>
      <c r="I416" s="138"/>
      <c r="J416" s="5" t="s">
        <v>323</v>
      </c>
      <c r="K416" s="130" t="s">
        <v>328</v>
      </c>
      <c r="L416" s="5"/>
    </row>
    <row r="417" spans="1:15" ht="15" hidden="1" customHeight="1">
      <c r="A417" s="2" t="s">
        <v>9</v>
      </c>
      <c r="B417" s="26" t="s">
        <v>333</v>
      </c>
      <c r="C417" s="2" t="s">
        <v>1254</v>
      </c>
      <c r="D417" s="2" t="s">
        <v>1021</v>
      </c>
      <c r="I417" s="138"/>
      <c r="J417" s="5" t="s">
        <v>323</v>
      </c>
      <c r="K417" s="130" t="s">
        <v>329</v>
      </c>
      <c r="L417" s="5"/>
    </row>
    <row r="418" spans="1:15" ht="15" hidden="1" customHeight="1">
      <c r="A418" s="2" t="s">
        <v>9</v>
      </c>
      <c r="B418" s="26" t="s">
        <v>333</v>
      </c>
      <c r="C418" s="2" t="s">
        <v>1255</v>
      </c>
      <c r="D418" s="2" t="s">
        <v>34</v>
      </c>
      <c r="H418" s="138">
        <v>237</v>
      </c>
      <c r="I418" s="138"/>
      <c r="J418" s="5" t="s">
        <v>323</v>
      </c>
      <c r="K418" s="130" t="s">
        <v>328</v>
      </c>
      <c r="L418" s="5"/>
      <c r="M418" s="5" t="s">
        <v>478</v>
      </c>
    </row>
    <row r="419" spans="1:15" ht="15" hidden="1" customHeight="1">
      <c r="A419" s="2" t="s">
        <v>9</v>
      </c>
      <c r="B419" s="26" t="s">
        <v>333</v>
      </c>
      <c r="C419" s="2" t="s">
        <v>1256</v>
      </c>
      <c r="D419" s="2" t="s">
        <v>35</v>
      </c>
      <c r="H419" s="138">
        <v>89</v>
      </c>
      <c r="I419" s="138"/>
      <c r="J419" s="5" t="s">
        <v>323</v>
      </c>
      <c r="K419" s="130" t="s">
        <v>328</v>
      </c>
      <c r="L419" s="5"/>
      <c r="M419" s="5" t="s">
        <v>490</v>
      </c>
    </row>
    <row r="420" spans="1:15" ht="15" hidden="1" customHeight="1">
      <c r="A420" s="2" t="s">
        <v>9</v>
      </c>
      <c r="B420" s="26" t="s">
        <v>333</v>
      </c>
      <c r="C420" s="2" t="s">
        <v>1257</v>
      </c>
      <c r="D420" s="2" t="s">
        <v>545</v>
      </c>
      <c r="H420" s="138">
        <v>237</v>
      </c>
      <c r="I420" s="138"/>
      <c r="J420" s="5" t="s">
        <v>323</v>
      </c>
      <c r="K420" s="130" t="s">
        <v>328</v>
      </c>
      <c r="L420" s="5"/>
      <c r="M420" s="5" t="s">
        <v>546</v>
      </c>
    </row>
    <row r="421" spans="1:15" ht="25.5" hidden="1" customHeight="1">
      <c r="A421" s="2" t="s">
        <v>9</v>
      </c>
      <c r="B421" s="26" t="s">
        <v>333</v>
      </c>
      <c r="C421" s="2" t="s">
        <v>1258</v>
      </c>
      <c r="D421" s="2" t="s">
        <v>548</v>
      </c>
      <c r="H421" s="138">
        <v>112</v>
      </c>
      <c r="I421" s="138"/>
      <c r="J421" s="5" t="s">
        <v>323</v>
      </c>
      <c r="K421" s="130" t="s">
        <v>328</v>
      </c>
      <c r="L421" s="5"/>
      <c r="M421" s="5" t="s">
        <v>1259</v>
      </c>
    </row>
    <row r="422" spans="1:15" ht="15" hidden="1" customHeight="1">
      <c r="A422" s="2" t="s">
        <v>9</v>
      </c>
      <c r="B422" s="26" t="s">
        <v>333</v>
      </c>
      <c r="C422" s="2" t="s">
        <v>1260</v>
      </c>
      <c r="D422" s="2" t="s">
        <v>36</v>
      </c>
      <c r="H422" s="138">
        <v>89</v>
      </c>
      <c r="I422" s="138"/>
      <c r="J422" s="5" t="s">
        <v>323</v>
      </c>
      <c r="K422" s="130" t="s">
        <v>328</v>
      </c>
      <c r="L422" s="5"/>
      <c r="M422" s="5" t="s">
        <v>551</v>
      </c>
    </row>
    <row r="423" spans="1:15" ht="15" hidden="1" customHeight="1">
      <c r="A423" s="2" t="s">
        <v>9</v>
      </c>
      <c r="B423" s="26" t="s">
        <v>333</v>
      </c>
      <c r="C423" s="2" t="s">
        <v>1261</v>
      </c>
      <c r="D423" s="2" t="s">
        <v>554</v>
      </c>
      <c r="I423" s="138"/>
      <c r="J423" s="5" t="s">
        <v>323</v>
      </c>
      <c r="K423" s="130" t="s">
        <v>328</v>
      </c>
      <c r="L423" s="5"/>
    </row>
    <row r="424" spans="1:15" ht="15" hidden="1" customHeight="1">
      <c r="A424" s="2" t="s">
        <v>9</v>
      </c>
      <c r="B424" s="26" t="s">
        <v>333</v>
      </c>
      <c r="C424" s="2" t="s">
        <v>1262</v>
      </c>
      <c r="D424" s="2" t="s">
        <v>556</v>
      </c>
      <c r="H424" s="138">
        <v>79</v>
      </c>
      <c r="I424" s="138"/>
      <c r="J424" s="5" t="s">
        <v>323</v>
      </c>
      <c r="K424" s="130" t="s">
        <v>328</v>
      </c>
      <c r="L424" s="5"/>
      <c r="M424" s="5" t="s">
        <v>551</v>
      </c>
      <c r="N424" s="11" t="s">
        <v>1263</v>
      </c>
    </row>
    <row r="425" spans="1:15" ht="15" hidden="1" customHeight="1">
      <c r="A425" s="2" t="s">
        <v>9</v>
      </c>
      <c r="B425" s="26" t="s">
        <v>333</v>
      </c>
      <c r="C425" s="2" t="s">
        <v>1264</v>
      </c>
      <c r="D425" s="2" t="s">
        <v>559</v>
      </c>
      <c r="I425" s="138"/>
      <c r="J425" s="5" t="s">
        <v>323</v>
      </c>
      <c r="K425" s="130" t="s">
        <v>328</v>
      </c>
      <c r="L425" s="5"/>
    </row>
    <row r="426" spans="1:15" ht="15" hidden="1" customHeight="1">
      <c r="A426" s="2" t="s">
        <v>9</v>
      </c>
      <c r="B426" s="26" t="s">
        <v>333</v>
      </c>
      <c r="C426" s="2" t="s">
        <v>1265</v>
      </c>
      <c r="D426" s="2" t="s">
        <v>56</v>
      </c>
      <c r="I426" s="138"/>
      <c r="J426" s="5" t="s">
        <v>323</v>
      </c>
      <c r="K426" s="130" t="s">
        <v>328</v>
      </c>
      <c r="L426" s="5"/>
    </row>
    <row r="427" spans="1:15" ht="15" hidden="1" customHeight="1">
      <c r="A427" s="2" t="s">
        <v>9</v>
      </c>
      <c r="B427" s="26" t="s">
        <v>333</v>
      </c>
      <c r="C427" s="2" t="s">
        <v>1266</v>
      </c>
      <c r="D427" s="2" t="s">
        <v>562</v>
      </c>
      <c r="I427" s="138"/>
      <c r="J427" s="5" t="s">
        <v>323</v>
      </c>
      <c r="K427" s="130" t="s">
        <v>329</v>
      </c>
      <c r="L427" s="5"/>
    </row>
    <row r="428" spans="1:15" ht="15" hidden="1" customHeight="1">
      <c r="A428" s="2" t="s">
        <v>9</v>
      </c>
      <c r="B428" s="26" t="s">
        <v>333</v>
      </c>
      <c r="C428" s="2" t="s">
        <v>1267</v>
      </c>
      <c r="D428" s="2" t="s">
        <v>565</v>
      </c>
      <c r="I428" s="138"/>
      <c r="J428" s="5" t="s">
        <v>323</v>
      </c>
      <c r="K428" s="130" t="s">
        <v>329</v>
      </c>
      <c r="L428" s="5"/>
    </row>
    <row r="429" spans="1:15" ht="15" hidden="1" customHeight="1">
      <c r="A429" s="2" t="s">
        <v>9</v>
      </c>
      <c r="B429" s="26" t="s">
        <v>333</v>
      </c>
      <c r="C429" s="2" t="s">
        <v>1268</v>
      </c>
      <c r="D429" s="2" t="s">
        <v>59</v>
      </c>
      <c r="I429" s="138"/>
      <c r="J429" s="5" t="s">
        <v>323</v>
      </c>
      <c r="K429" s="130" t="s">
        <v>328</v>
      </c>
      <c r="L429" s="5"/>
    </row>
    <row r="430" spans="1:15" ht="15" hidden="1" customHeight="1">
      <c r="A430" s="2" t="s">
        <v>9</v>
      </c>
      <c r="B430" s="26" t="s">
        <v>1068</v>
      </c>
      <c r="C430" s="2" t="s">
        <v>1269</v>
      </c>
      <c r="D430" s="2" t="s">
        <v>1070</v>
      </c>
      <c r="I430" s="138"/>
      <c r="J430" s="5" t="s">
        <v>323</v>
      </c>
      <c r="K430" s="130" t="s">
        <v>330</v>
      </c>
      <c r="L430" s="5"/>
    </row>
    <row r="431" spans="1:15" ht="15" hidden="1" customHeight="1">
      <c r="A431" s="2" t="s">
        <v>9</v>
      </c>
      <c r="B431" s="26" t="s">
        <v>1068</v>
      </c>
      <c r="C431" s="2" t="s">
        <v>1270</v>
      </c>
      <c r="D431" s="2" t="s">
        <v>1072</v>
      </c>
      <c r="F431" s="129">
        <v>1</v>
      </c>
      <c r="H431" s="138">
        <v>1676</v>
      </c>
      <c r="I431" s="138"/>
      <c r="J431" s="5" t="s">
        <v>323</v>
      </c>
      <c r="K431" s="130" t="s">
        <v>328</v>
      </c>
      <c r="L431" s="5"/>
      <c r="M431" s="5" t="s">
        <v>385</v>
      </c>
      <c r="O431" t="s">
        <v>479</v>
      </c>
    </row>
    <row r="432" spans="1:15" ht="15" hidden="1" customHeight="1">
      <c r="A432" s="2" t="s">
        <v>9</v>
      </c>
      <c r="B432" s="26" t="s">
        <v>1068</v>
      </c>
      <c r="C432" s="2" t="s">
        <v>1271</v>
      </c>
      <c r="D432" s="2" t="s">
        <v>394</v>
      </c>
      <c r="H432" s="138">
        <v>353</v>
      </c>
      <c r="I432" s="138"/>
      <c r="J432" s="5" t="s">
        <v>323</v>
      </c>
      <c r="K432" s="130" t="s">
        <v>328</v>
      </c>
      <c r="L432" s="5"/>
      <c r="M432" s="5" t="s">
        <v>385</v>
      </c>
    </row>
    <row r="433" spans="1:15" ht="15" hidden="1" customHeight="1">
      <c r="A433" s="2" t="s">
        <v>9</v>
      </c>
      <c r="B433" s="26" t="s">
        <v>1068</v>
      </c>
      <c r="C433" s="2" t="s">
        <v>1272</v>
      </c>
      <c r="D433" s="2" t="s">
        <v>1076</v>
      </c>
      <c r="I433" s="138"/>
      <c r="J433" s="5" t="s">
        <v>323</v>
      </c>
      <c r="K433" s="130" t="s">
        <v>329</v>
      </c>
      <c r="L433" s="5"/>
    </row>
    <row r="434" spans="1:15" ht="15" hidden="1" customHeight="1">
      <c r="A434" s="2" t="s">
        <v>9</v>
      </c>
      <c r="B434" s="26" t="s">
        <v>1068</v>
      </c>
      <c r="C434" s="2" t="s">
        <v>1273</v>
      </c>
      <c r="D434" s="2" t="s">
        <v>1274</v>
      </c>
      <c r="I434" s="138"/>
      <c r="J434" s="5" t="s">
        <v>323</v>
      </c>
      <c r="K434" s="130" t="s">
        <v>328</v>
      </c>
      <c r="L434" s="5"/>
    </row>
    <row r="435" spans="1:15" ht="15" hidden="1" customHeight="1">
      <c r="A435" s="2" t="s">
        <v>9</v>
      </c>
      <c r="B435" s="26" t="s">
        <v>1068</v>
      </c>
      <c r="C435" s="2" t="s">
        <v>1275</v>
      </c>
      <c r="D435" s="2" t="s">
        <v>1081</v>
      </c>
      <c r="H435" s="138">
        <v>2580</v>
      </c>
      <c r="I435" s="138"/>
      <c r="J435" s="5" t="s">
        <v>323</v>
      </c>
      <c r="K435" s="130" t="s">
        <v>328</v>
      </c>
      <c r="L435" s="5"/>
      <c r="M435" s="5" t="s">
        <v>546</v>
      </c>
    </row>
    <row r="436" spans="1:15" ht="15" hidden="1" customHeight="1">
      <c r="A436" s="2" t="s">
        <v>9</v>
      </c>
      <c r="B436" s="26" t="s">
        <v>1068</v>
      </c>
      <c r="C436" s="2" t="s">
        <v>1276</v>
      </c>
      <c r="D436" s="2" t="s">
        <v>1083</v>
      </c>
      <c r="F436" s="129">
        <v>1</v>
      </c>
      <c r="H436" s="138">
        <v>1178</v>
      </c>
      <c r="I436" s="138"/>
      <c r="J436" s="5" t="s">
        <v>323</v>
      </c>
      <c r="K436" s="130" t="s">
        <v>328</v>
      </c>
      <c r="L436" s="5"/>
      <c r="M436" s="5" t="s">
        <v>546</v>
      </c>
      <c r="O436" t="s">
        <v>479</v>
      </c>
    </row>
    <row r="437" spans="1:15" ht="15" hidden="1" customHeight="1">
      <c r="A437" s="2" t="s">
        <v>9</v>
      </c>
      <c r="B437" s="26" t="s">
        <v>1068</v>
      </c>
      <c r="C437" s="2" t="s">
        <v>1277</v>
      </c>
      <c r="D437" s="2" t="s">
        <v>1085</v>
      </c>
      <c r="I437" s="138"/>
      <c r="J437" s="5" t="s">
        <v>323</v>
      </c>
      <c r="K437" s="130" t="s">
        <v>330</v>
      </c>
      <c r="L437" s="5"/>
    </row>
    <row r="438" spans="1:15" ht="15" hidden="1" customHeight="1">
      <c r="A438" s="2" t="s">
        <v>9</v>
      </c>
      <c r="B438" s="26" t="s">
        <v>1068</v>
      </c>
      <c r="C438" s="2" t="s">
        <v>1278</v>
      </c>
      <c r="D438" s="2" t="s">
        <v>1087</v>
      </c>
      <c r="F438" s="129">
        <v>1</v>
      </c>
      <c r="H438" s="138">
        <v>553</v>
      </c>
      <c r="I438" s="138"/>
      <c r="J438" s="5" t="s">
        <v>323</v>
      </c>
      <c r="K438" s="130" t="s">
        <v>328</v>
      </c>
      <c r="L438" s="5"/>
      <c r="M438" s="5" t="s">
        <v>478</v>
      </c>
      <c r="O438" t="s">
        <v>479</v>
      </c>
    </row>
    <row r="439" spans="1:15" ht="15" hidden="1" customHeight="1">
      <c r="A439" s="2" t="s">
        <v>9</v>
      </c>
      <c r="B439" s="26" t="s">
        <v>1068</v>
      </c>
      <c r="C439" s="2" t="s">
        <v>1279</v>
      </c>
      <c r="D439" s="2" t="s">
        <v>1091</v>
      </c>
      <c r="I439" s="138"/>
      <c r="J439" s="5" t="s">
        <v>323</v>
      </c>
      <c r="K439" s="130" t="s">
        <v>329</v>
      </c>
      <c r="L439" s="5"/>
    </row>
    <row r="440" spans="1:15" ht="15" hidden="1" customHeight="1">
      <c r="A440" s="2" t="s">
        <v>9</v>
      </c>
      <c r="B440" s="26" t="s">
        <v>1068</v>
      </c>
      <c r="C440" s="2" t="s">
        <v>1280</v>
      </c>
      <c r="D440" s="2" t="s">
        <v>131</v>
      </c>
      <c r="F440" s="129">
        <v>1</v>
      </c>
      <c r="H440" s="138">
        <v>1382</v>
      </c>
      <c r="I440" s="138"/>
      <c r="J440" s="5" t="s">
        <v>323</v>
      </c>
      <c r="K440" s="130" t="s">
        <v>328</v>
      </c>
      <c r="L440" s="5"/>
      <c r="M440" s="5" t="s">
        <v>478</v>
      </c>
    </row>
    <row r="441" spans="1:15" ht="15" customHeight="1">
      <c r="A441" s="19" t="s">
        <v>9</v>
      </c>
      <c r="B441" s="19" t="s">
        <v>1068</v>
      </c>
      <c r="C441" s="19" t="s">
        <v>1281</v>
      </c>
      <c r="D441" s="19" t="s">
        <v>1102</v>
      </c>
      <c r="F441" s="129">
        <v>1</v>
      </c>
      <c r="I441" s="138"/>
      <c r="J441" s="5" t="s">
        <v>323</v>
      </c>
      <c r="K441" s="130" t="s">
        <v>328</v>
      </c>
      <c r="L441" s="5"/>
      <c r="M441" s="5" t="s">
        <v>784</v>
      </c>
      <c r="N441" s="11" t="s">
        <v>1282</v>
      </c>
      <c r="O441" t="s">
        <v>479</v>
      </c>
    </row>
    <row r="442" spans="1:15" ht="15" hidden="1" customHeight="1">
      <c r="A442" s="2" t="s">
        <v>9</v>
      </c>
      <c r="B442" s="26" t="s">
        <v>1068</v>
      </c>
      <c r="C442" s="2" t="s">
        <v>1283</v>
      </c>
      <c r="D442" s="2" t="s">
        <v>1284</v>
      </c>
      <c r="I442" s="138"/>
      <c r="J442" s="5" t="s">
        <v>323</v>
      </c>
      <c r="K442" s="130" t="s">
        <v>329</v>
      </c>
      <c r="L442" s="5"/>
    </row>
    <row r="443" spans="1:15" ht="15" hidden="1" customHeight="1">
      <c r="A443" s="2" t="s">
        <v>9</v>
      </c>
      <c r="B443" s="26" t="s">
        <v>1068</v>
      </c>
      <c r="C443" s="2" t="s">
        <v>1285</v>
      </c>
      <c r="D443" s="2" t="s">
        <v>141</v>
      </c>
      <c r="F443" s="129">
        <v>1</v>
      </c>
      <c r="H443" s="138">
        <v>1382</v>
      </c>
      <c r="I443" s="138"/>
      <c r="J443" s="5" t="s">
        <v>323</v>
      </c>
      <c r="K443" s="130" t="s">
        <v>328</v>
      </c>
      <c r="L443" s="5"/>
      <c r="M443" s="5" t="s">
        <v>478</v>
      </c>
      <c r="O443" t="s">
        <v>479</v>
      </c>
    </row>
    <row r="444" spans="1:15" ht="15" hidden="1" customHeight="1">
      <c r="A444" s="2" t="s">
        <v>9</v>
      </c>
      <c r="B444" s="26" t="s">
        <v>1068</v>
      </c>
      <c r="C444" s="2" t="s">
        <v>1286</v>
      </c>
      <c r="D444" s="2" t="s">
        <v>132</v>
      </c>
      <c r="I444" s="138"/>
      <c r="J444" s="5" t="s">
        <v>323</v>
      </c>
      <c r="K444" s="130" t="s">
        <v>329</v>
      </c>
      <c r="L444" s="5"/>
    </row>
    <row r="445" spans="1:15" ht="25.5" hidden="1" customHeight="1">
      <c r="A445" s="2" t="s">
        <v>9</v>
      </c>
      <c r="B445" s="26" t="s">
        <v>1068</v>
      </c>
      <c r="C445" s="2" t="s">
        <v>1287</v>
      </c>
      <c r="D445" s="2" t="s">
        <v>1099</v>
      </c>
      <c r="I445" s="138"/>
      <c r="J445" s="5" t="s">
        <v>323</v>
      </c>
      <c r="K445" s="130" t="s">
        <v>329</v>
      </c>
      <c r="L445" s="5"/>
    </row>
    <row r="446" spans="1:15" ht="15" hidden="1" customHeight="1">
      <c r="A446" s="2" t="s">
        <v>9</v>
      </c>
      <c r="B446" s="26" t="s">
        <v>1117</v>
      </c>
      <c r="C446" s="2" t="s">
        <v>1288</v>
      </c>
      <c r="D446" s="2" t="s">
        <v>1119</v>
      </c>
      <c r="I446" s="138"/>
      <c r="J446" s="5" t="s">
        <v>323</v>
      </c>
      <c r="K446" s="130" t="s">
        <v>330</v>
      </c>
      <c r="L446" s="5"/>
    </row>
    <row r="447" spans="1:15" ht="15" hidden="1" customHeight="1">
      <c r="A447" s="2" t="s">
        <v>9</v>
      </c>
      <c r="B447" s="26" t="s">
        <v>1117</v>
      </c>
      <c r="C447" s="2" t="s">
        <v>1289</v>
      </c>
      <c r="D447" s="2" t="s">
        <v>173</v>
      </c>
      <c r="H447" s="138">
        <v>1650</v>
      </c>
      <c r="I447" s="138"/>
      <c r="J447" s="5" t="s">
        <v>323</v>
      </c>
      <c r="K447" s="130" t="s">
        <v>328</v>
      </c>
      <c r="L447" s="5"/>
      <c r="M447" s="5" t="s">
        <v>546</v>
      </c>
    </row>
    <row r="448" spans="1:15" ht="15" hidden="1" customHeight="1">
      <c r="A448" s="2" t="s">
        <v>9</v>
      </c>
      <c r="B448" s="26" t="s">
        <v>1117</v>
      </c>
      <c r="C448" s="2" t="s">
        <v>1290</v>
      </c>
      <c r="D448" s="2" t="s">
        <v>1291</v>
      </c>
      <c r="F448" s="129">
        <v>1</v>
      </c>
      <c r="H448" s="138">
        <v>1650</v>
      </c>
      <c r="I448" s="138"/>
      <c r="J448" s="5" t="s">
        <v>323</v>
      </c>
      <c r="K448" s="130" t="s">
        <v>328</v>
      </c>
      <c r="L448" s="5"/>
      <c r="M448" s="5" t="s">
        <v>546</v>
      </c>
      <c r="O448" t="s">
        <v>479</v>
      </c>
    </row>
    <row r="449" spans="1:15" ht="15" hidden="1" customHeight="1">
      <c r="A449" s="2" t="s">
        <v>9</v>
      </c>
      <c r="B449" s="26" t="s">
        <v>1117</v>
      </c>
      <c r="C449" s="2" t="s">
        <v>1292</v>
      </c>
      <c r="D449" s="2" t="s">
        <v>1124</v>
      </c>
      <c r="H449" s="138">
        <f>H448-H452</f>
        <v>1376</v>
      </c>
      <c r="I449" s="138"/>
      <c r="J449" s="5" t="s">
        <v>323</v>
      </c>
      <c r="K449" s="130" t="s">
        <v>328</v>
      </c>
      <c r="L449" s="5"/>
      <c r="M449" s="5" t="s">
        <v>1125</v>
      </c>
    </row>
    <row r="450" spans="1:15" ht="15" customHeight="1">
      <c r="A450" s="2" t="s">
        <v>9</v>
      </c>
      <c r="B450" s="26" t="s">
        <v>1117</v>
      </c>
      <c r="C450" s="2" t="s">
        <v>1293</v>
      </c>
      <c r="D450" s="2" t="s">
        <v>1127</v>
      </c>
      <c r="F450" s="129">
        <v>1</v>
      </c>
      <c r="I450" s="138"/>
      <c r="J450" s="5" t="s">
        <v>323</v>
      </c>
      <c r="K450" s="130" t="s">
        <v>329</v>
      </c>
      <c r="L450" s="5"/>
      <c r="O450" t="s">
        <v>479</v>
      </c>
    </row>
    <row r="451" spans="1:15" ht="15" hidden="1" customHeight="1">
      <c r="A451" s="2" t="s">
        <v>9</v>
      </c>
      <c r="B451" s="26" t="s">
        <v>1117</v>
      </c>
      <c r="C451" s="2" t="s">
        <v>1294</v>
      </c>
      <c r="D451" s="2" t="s">
        <v>1129</v>
      </c>
      <c r="I451" s="138"/>
      <c r="J451" s="5" t="s">
        <v>323</v>
      </c>
      <c r="K451" s="130" t="s">
        <v>330</v>
      </c>
      <c r="L451" s="5"/>
    </row>
    <row r="452" spans="1:15" ht="15" hidden="1" customHeight="1">
      <c r="A452" s="2" t="s">
        <v>9</v>
      </c>
      <c r="B452" s="26" t="s">
        <v>1117</v>
      </c>
      <c r="C452" s="2" t="s">
        <v>1295</v>
      </c>
      <c r="D452" s="2" t="s">
        <v>1131</v>
      </c>
      <c r="H452" s="138">
        <v>274</v>
      </c>
      <c r="I452" s="138"/>
      <c r="J452" s="5" t="s">
        <v>323</v>
      </c>
      <c r="K452" s="130" t="s">
        <v>328</v>
      </c>
      <c r="L452" s="5"/>
      <c r="M452" s="5" t="s">
        <v>546</v>
      </c>
    </row>
    <row r="453" spans="1:15" ht="15" hidden="1" customHeight="1">
      <c r="A453" s="2" t="s">
        <v>9</v>
      </c>
      <c r="B453" s="26" t="s">
        <v>1117</v>
      </c>
      <c r="C453" s="2" t="s">
        <v>1296</v>
      </c>
      <c r="D453" s="2" t="s">
        <v>1021</v>
      </c>
      <c r="I453" s="138"/>
      <c r="J453" s="5" t="s">
        <v>323</v>
      </c>
      <c r="K453" s="130" t="s">
        <v>329</v>
      </c>
      <c r="L453" s="5"/>
    </row>
    <row r="454" spans="1:15" ht="15" hidden="1" customHeight="1">
      <c r="A454" s="2" t="s">
        <v>9</v>
      </c>
      <c r="B454" s="26" t="s">
        <v>1117</v>
      </c>
      <c r="C454" s="2" t="s">
        <v>1297</v>
      </c>
      <c r="D454" s="2" t="s">
        <v>1023</v>
      </c>
      <c r="I454" s="138"/>
      <c r="J454" s="5" t="s">
        <v>323</v>
      </c>
      <c r="K454" s="130" t="s">
        <v>329</v>
      </c>
      <c r="L454" s="5"/>
    </row>
    <row r="455" spans="1:15" ht="25.5" hidden="1" customHeight="1">
      <c r="A455" s="2" t="s">
        <v>9</v>
      </c>
      <c r="B455" s="26" t="s">
        <v>1117</v>
      </c>
      <c r="C455" s="2" t="s">
        <v>1298</v>
      </c>
      <c r="D455" s="2" t="s">
        <v>1299</v>
      </c>
      <c r="I455" s="138"/>
      <c r="J455" s="5" t="s">
        <v>323</v>
      </c>
      <c r="K455" s="130" t="s">
        <v>329</v>
      </c>
      <c r="L455" s="5"/>
    </row>
    <row r="456" spans="1:15" ht="15" hidden="1" customHeight="1">
      <c r="A456" s="2" t="s">
        <v>9</v>
      </c>
      <c r="B456" s="26" t="s">
        <v>1117</v>
      </c>
      <c r="C456" s="2" t="s">
        <v>1300</v>
      </c>
      <c r="D456" s="2" t="s">
        <v>1137</v>
      </c>
      <c r="I456" s="138"/>
      <c r="J456" s="5" t="s">
        <v>323</v>
      </c>
      <c r="K456" s="130" t="s">
        <v>329</v>
      </c>
      <c r="L456" s="5"/>
    </row>
    <row r="457" spans="1:15" ht="15" hidden="1" customHeight="1">
      <c r="A457" s="2" t="s">
        <v>9</v>
      </c>
      <c r="B457" s="26" t="s">
        <v>1117</v>
      </c>
      <c r="C457" s="2" t="s">
        <v>1301</v>
      </c>
      <c r="D457" s="2" t="s">
        <v>1139</v>
      </c>
      <c r="F457" s="129">
        <v>1</v>
      </c>
      <c r="H457" s="138">
        <v>5</v>
      </c>
      <c r="I457" s="138"/>
      <c r="J457" s="5" t="s">
        <v>323</v>
      </c>
      <c r="K457" s="130" t="s">
        <v>328</v>
      </c>
      <c r="L457" s="5"/>
      <c r="M457" s="5" t="s">
        <v>478</v>
      </c>
      <c r="O457" t="s">
        <v>479</v>
      </c>
    </row>
    <row r="458" spans="1:15" ht="15" hidden="1" customHeight="1">
      <c r="A458" s="2" t="s">
        <v>9</v>
      </c>
      <c r="B458" s="26" t="s">
        <v>1117</v>
      </c>
      <c r="C458" s="2" t="s">
        <v>1302</v>
      </c>
      <c r="D458" s="2" t="s">
        <v>1141</v>
      </c>
      <c r="I458" s="138"/>
      <c r="J458" s="5" t="s">
        <v>323</v>
      </c>
      <c r="K458" s="130" t="s">
        <v>329</v>
      </c>
      <c r="L458" s="5"/>
      <c r="M458" s="5" t="s">
        <v>385</v>
      </c>
      <c r="N458" s="11" t="s">
        <v>1303</v>
      </c>
    </row>
    <row r="459" spans="1:15" ht="15" hidden="1" customHeight="1">
      <c r="A459" s="2" t="s">
        <v>9</v>
      </c>
      <c r="B459" s="26" t="s">
        <v>1117</v>
      </c>
      <c r="C459" s="2" t="s">
        <v>1304</v>
      </c>
      <c r="D459" s="2" t="s">
        <v>1143</v>
      </c>
      <c r="I459" s="138"/>
      <c r="J459" s="5" t="s">
        <v>323</v>
      </c>
      <c r="K459" s="130" t="s">
        <v>329</v>
      </c>
      <c r="L459" s="5"/>
    </row>
    <row r="460" spans="1:15" ht="15" hidden="1" customHeight="1">
      <c r="A460" s="2" t="s">
        <v>9</v>
      </c>
      <c r="B460" s="26" t="s">
        <v>1117</v>
      </c>
      <c r="C460" s="2" t="s">
        <v>1305</v>
      </c>
      <c r="D460" s="2" t="s">
        <v>28</v>
      </c>
      <c r="I460" s="138"/>
      <c r="J460" s="5" t="s">
        <v>323</v>
      </c>
      <c r="K460" s="130" t="s">
        <v>329</v>
      </c>
      <c r="L460" s="5"/>
    </row>
    <row r="461" spans="1:15" ht="15" hidden="1" customHeight="1">
      <c r="A461" s="2" t="s">
        <v>9</v>
      </c>
      <c r="B461" s="26" t="s">
        <v>337</v>
      </c>
      <c r="C461" s="2" t="s">
        <v>1306</v>
      </c>
      <c r="D461" s="2" t="s">
        <v>1307</v>
      </c>
      <c r="I461" s="138"/>
      <c r="J461" s="5" t="s">
        <v>323</v>
      </c>
      <c r="K461" s="130" t="s">
        <v>329</v>
      </c>
      <c r="L461" s="5"/>
    </row>
    <row r="462" spans="1:15" ht="15" hidden="1" customHeight="1">
      <c r="A462" s="2" t="s">
        <v>9</v>
      </c>
      <c r="B462" s="26" t="s">
        <v>337</v>
      </c>
      <c r="C462" s="2" t="s">
        <v>1308</v>
      </c>
      <c r="D462" s="2" t="s">
        <v>1309</v>
      </c>
      <c r="I462" s="138"/>
      <c r="J462" s="5" t="s">
        <v>323</v>
      </c>
      <c r="K462" s="130" t="s">
        <v>329</v>
      </c>
      <c r="L462" s="5"/>
    </row>
    <row r="463" spans="1:15" ht="25.5" hidden="1" customHeight="1">
      <c r="A463" s="2" t="s">
        <v>9</v>
      </c>
      <c r="B463" s="26" t="s">
        <v>337</v>
      </c>
      <c r="C463" s="2" t="s">
        <v>1310</v>
      </c>
      <c r="D463" s="2" t="s">
        <v>1311</v>
      </c>
      <c r="I463" s="138"/>
      <c r="J463" s="5" t="s">
        <v>323</v>
      </c>
      <c r="K463" s="130" t="s">
        <v>329</v>
      </c>
      <c r="L463" s="5"/>
    </row>
    <row r="464" spans="1:15" ht="15" customHeight="1">
      <c r="A464" s="2" t="s">
        <v>9</v>
      </c>
      <c r="B464" s="26" t="s">
        <v>337</v>
      </c>
      <c r="C464" s="2" t="s">
        <v>1312</v>
      </c>
      <c r="D464" s="2" t="s">
        <v>64</v>
      </c>
      <c r="F464" s="129">
        <v>1</v>
      </c>
      <c r="I464" s="138"/>
      <c r="J464" s="5" t="s">
        <v>323</v>
      </c>
      <c r="K464" s="130" t="s">
        <v>329</v>
      </c>
      <c r="L464" s="5"/>
      <c r="O464" t="s">
        <v>479</v>
      </c>
    </row>
    <row r="465" spans="1:15" ht="15" hidden="1" customHeight="1">
      <c r="A465" s="2" t="s">
        <v>9</v>
      </c>
      <c r="B465" s="26" t="s">
        <v>337</v>
      </c>
      <c r="C465" s="2" t="s">
        <v>1313</v>
      </c>
      <c r="D465" s="2" t="s">
        <v>1314</v>
      </c>
      <c r="I465" s="138"/>
      <c r="J465" s="5" t="s">
        <v>323</v>
      </c>
      <c r="K465" s="130" t="s">
        <v>329</v>
      </c>
      <c r="L465" s="5"/>
    </row>
    <row r="466" spans="1:15" ht="25.5" hidden="1" customHeight="1">
      <c r="A466" s="2" t="s">
        <v>9</v>
      </c>
      <c r="B466" s="26" t="s">
        <v>337</v>
      </c>
      <c r="C466" s="2" t="s">
        <v>1315</v>
      </c>
      <c r="D466" s="2" t="s">
        <v>1316</v>
      </c>
      <c r="I466" s="138"/>
      <c r="J466" s="5" t="s">
        <v>323</v>
      </c>
      <c r="K466" s="130" t="s">
        <v>329</v>
      </c>
      <c r="L466" s="5"/>
    </row>
    <row r="467" spans="1:15" ht="15" hidden="1" customHeight="1">
      <c r="A467" s="2" t="s">
        <v>9</v>
      </c>
      <c r="B467" s="26" t="s">
        <v>1145</v>
      </c>
      <c r="C467" s="2" t="s">
        <v>1317</v>
      </c>
      <c r="D467" s="2" t="s">
        <v>1147</v>
      </c>
      <c r="I467" s="138"/>
      <c r="J467" s="5" t="s">
        <v>323</v>
      </c>
      <c r="K467" s="5" t="s">
        <v>330</v>
      </c>
      <c r="L467" s="5"/>
    </row>
    <row r="468" spans="1:15" ht="15" hidden="1" customHeight="1">
      <c r="A468" s="2" t="s">
        <v>9</v>
      </c>
      <c r="B468" s="26" t="s">
        <v>1145</v>
      </c>
      <c r="C468" s="2" t="s">
        <v>1318</v>
      </c>
      <c r="D468" s="2" t="s">
        <v>1319</v>
      </c>
      <c r="F468" s="129">
        <v>1</v>
      </c>
      <c r="H468" s="138">
        <v>808</v>
      </c>
      <c r="I468" s="138"/>
      <c r="J468" s="5" t="s">
        <v>323</v>
      </c>
      <c r="K468" s="5" t="s">
        <v>328</v>
      </c>
      <c r="L468" s="5"/>
      <c r="M468" s="5" t="s">
        <v>1151</v>
      </c>
      <c r="O468" t="s">
        <v>479</v>
      </c>
    </row>
    <row r="469" spans="1:15" ht="15" hidden="1" customHeight="1">
      <c r="A469" s="2" t="s">
        <v>9</v>
      </c>
      <c r="B469" s="26" t="s">
        <v>1145</v>
      </c>
      <c r="C469" s="2" t="s">
        <v>1320</v>
      </c>
      <c r="D469" s="2" t="s">
        <v>147</v>
      </c>
      <c r="I469" s="138"/>
      <c r="J469" s="5" t="s">
        <v>323</v>
      </c>
      <c r="K469" s="130" t="s">
        <v>329</v>
      </c>
      <c r="L469" s="5"/>
    </row>
    <row r="470" spans="1:15" ht="15" hidden="1" customHeight="1">
      <c r="A470" s="2" t="s">
        <v>9</v>
      </c>
      <c r="B470" s="26" t="s">
        <v>1145</v>
      </c>
      <c r="C470" s="2" t="s">
        <v>1321</v>
      </c>
      <c r="D470" s="2" t="s">
        <v>150</v>
      </c>
      <c r="I470" s="138"/>
      <c r="J470" s="5" t="s">
        <v>323</v>
      </c>
      <c r="K470" s="130" t="s">
        <v>329</v>
      </c>
      <c r="L470" s="5"/>
    </row>
    <row r="471" spans="1:15" ht="15" hidden="1" customHeight="1">
      <c r="A471" s="2" t="s">
        <v>9</v>
      </c>
      <c r="B471" s="26" t="s">
        <v>1145</v>
      </c>
      <c r="C471" s="2" t="s">
        <v>1322</v>
      </c>
      <c r="D471" s="2" t="s">
        <v>1159</v>
      </c>
      <c r="F471" s="129">
        <v>1</v>
      </c>
      <c r="H471" s="138" t="s">
        <v>1160</v>
      </c>
      <c r="I471" s="138"/>
      <c r="J471" s="5" t="s">
        <v>323</v>
      </c>
      <c r="K471" s="130" t="s">
        <v>328</v>
      </c>
      <c r="L471" s="5"/>
      <c r="M471" s="5" t="s">
        <v>801</v>
      </c>
      <c r="O471" t="s">
        <v>479</v>
      </c>
    </row>
    <row r="472" spans="1:15" ht="15" hidden="1" customHeight="1">
      <c r="A472" s="2" t="s">
        <v>9</v>
      </c>
      <c r="B472" s="26" t="s">
        <v>1145</v>
      </c>
      <c r="C472" s="2" t="s">
        <v>1323</v>
      </c>
      <c r="D472" s="2" t="s">
        <v>1163</v>
      </c>
      <c r="I472" s="138"/>
      <c r="J472" s="5" t="s">
        <v>323</v>
      </c>
      <c r="K472" s="130" t="s">
        <v>329</v>
      </c>
      <c r="L472" s="5"/>
    </row>
    <row r="473" spans="1:15" ht="15" hidden="1" customHeight="1">
      <c r="A473" s="2" t="s">
        <v>9</v>
      </c>
      <c r="B473" s="26" t="s">
        <v>1145</v>
      </c>
      <c r="C473" s="2" t="s">
        <v>1324</v>
      </c>
      <c r="D473" s="2" t="s">
        <v>1165</v>
      </c>
      <c r="I473" s="138"/>
      <c r="J473" s="5" t="s">
        <v>323</v>
      </c>
      <c r="K473" s="130" t="s">
        <v>329</v>
      </c>
      <c r="L473" s="5"/>
    </row>
    <row r="474" spans="1:15" ht="15" hidden="1" customHeight="1">
      <c r="A474" s="2" t="s">
        <v>9</v>
      </c>
      <c r="B474" s="26" t="s">
        <v>1145</v>
      </c>
      <c r="C474" s="2" t="s">
        <v>1325</v>
      </c>
      <c r="D474" s="2" t="s">
        <v>1167</v>
      </c>
      <c r="I474" s="138"/>
      <c r="J474" s="5" t="s">
        <v>323</v>
      </c>
      <c r="K474" s="130" t="s">
        <v>329</v>
      </c>
      <c r="L474" s="5"/>
    </row>
    <row r="475" spans="1:15" ht="25.5" hidden="1" customHeight="1">
      <c r="A475" s="2" t="s">
        <v>9</v>
      </c>
      <c r="B475" s="26" t="s">
        <v>1145</v>
      </c>
      <c r="C475" s="2" t="s">
        <v>1326</v>
      </c>
      <c r="D475" s="2" t="s">
        <v>1169</v>
      </c>
      <c r="I475" s="138"/>
      <c r="J475" s="5" t="s">
        <v>323</v>
      </c>
      <c r="K475" s="130" t="s">
        <v>329</v>
      </c>
      <c r="L475" s="5"/>
    </row>
    <row r="476" spans="1:15" ht="15" customHeight="1">
      <c r="A476" s="2" t="s">
        <v>9</v>
      </c>
      <c r="B476" s="26" t="s">
        <v>1145</v>
      </c>
      <c r="C476" s="2" t="s">
        <v>1327</v>
      </c>
      <c r="D476" s="2" t="s">
        <v>1171</v>
      </c>
      <c r="F476" s="129">
        <v>1</v>
      </c>
      <c r="I476" s="138"/>
      <c r="J476" s="5" t="s">
        <v>323</v>
      </c>
      <c r="K476" s="130" t="s">
        <v>328</v>
      </c>
      <c r="L476" s="5"/>
      <c r="O476" t="s">
        <v>479</v>
      </c>
    </row>
    <row r="477" spans="1:15" ht="15" customHeight="1">
      <c r="A477" s="2" t="s">
        <v>9</v>
      </c>
      <c r="B477" s="26" t="s">
        <v>1145</v>
      </c>
      <c r="C477" s="2" t="s">
        <v>1328</v>
      </c>
      <c r="D477" s="2" t="s">
        <v>1173</v>
      </c>
      <c r="F477" s="129">
        <v>1</v>
      </c>
      <c r="I477" s="138"/>
      <c r="J477" s="5" t="s">
        <v>323</v>
      </c>
      <c r="K477" s="130" t="s">
        <v>328</v>
      </c>
      <c r="L477" s="5"/>
      <c r="O477" t="s">
        <v>479</v>
      </c>
    </row>
    <row r="478" spans="1:15" ht="15" hidden="1" customHeight="1">
      <c r="A478" s="2" t="s">
        <v>9</v>
      </c>
      <c r="B478" s="102" t="s">
        <v>336</v>
      </c>
      <c r="C478" s="2" t="s">
        <v>1329</v>
      </c>
      <c r="D478" s="2" t="s">
        <v>1175</v>
      </c>
      <c r="I478" s="138"/>
      <c r="J478" s="5" t="s">
        <v>323</v>
      </c>
      <c r="K478" s="5" t="s">
        <v>330</v>
      </c>
      <c r="L478" s="5"/>
    </row>
    <row r="479" spans="1:15" ht="30" hidden="1" customHeight="1">
      <c r="A479" s="2" t="s">
        <v>9</v>
      </c>
      <c r="B479" s="102" t="s">
        <v>336</v>
      </c>
      <c r="C479" s="2" t="s">
        <v>1330</v>
      </c>
      <c r="D479" s="2" t="s">
        <v>1177</v>
      </c>
      <c r="F479" s="129">
        <v>1</v>
      </c>
      <c r="H479" s="138">
        <v>1445</v>
      </c>
      <c r="I479" s="138"/>
      <c r="J479" s="5" t="s">
        <v>323</v>
      </c>
      <c r="K479" s="5" t="s">
        <v>328</v>
      </c>
      <c r="L479" s="5"/>
      <c r="M479" s="5" t="s">
        <v>1151</v>
      </c>
      <c r="N479" s="11" t="s">
        <v>1178</v>
      </c>
      <c r="O479" t="s">
        <v>479</v>
      </c>
    </row>
    <row r="480" spans="1:15" ht="15" hidden="1" customHeight="1">
      <c r="A480" s="2" t="s">
        <v>9</v>
      </c>
      <c r="B480" s="102" t="s">
        <v>336</v>
      </c>
      <c r="C480" s="2" t="s">
        <v>1331</v>
      </c>
      <c r="D480" s="2" t="s">
        <v>394</v>
      </c>
      <c r="H480" s="138">
        <v>245</v>
      </c>
      <c r="I480" s="138"/>
      <c r="J480" s="5" t="s">
        <v>323</v>
      </c>
      <c r="K480" s="5" t="s">
        <v>328</v>
      </c>
      <c r="L480" s="5"/>
      <c r="M480" s="5" t="s">
        <v>385</v>
      </c>
      <c r="N480" s="11" t="s">
        <v>1180</v>
      </c>
    </row>
    <row r="481" spans="1:16" ht="15" hidden="1" customHeight="1">
      <c r="A481" s="2" t="s">
        <v>9</v>
      </c>
      <c r="B481" s="102" t="s">
        <v>336</v>
      </c>
      <c r="C481" s="2" t="s">
        <v>1332</v>
      </c>
      <c r="D481" s="2" t="s">
        <v>1182</v>
      </c>
      <c r="F481" s="129">
        <v>1</v>
      </c>
      <c r="H481" s="138">
        <v>483</v>
      </c>
      <c r="I481" s="138"/>
      <c r="J481" s="5" t="s">
        <v>323</v>
      </c>
      <c r="K481" s="5" t="s">
        <v>328</v>
      </c>
      <c r="L481" s="5"/>
      <c r="M481" s="5" t="s">
        <v>478</v>
      </c>
      <c r="N481" s="11" t="s">
        <v>1183</v>
      </c>
      <c r="O481" t="s">
        <v>479</v>
      </c>
    </row>
    <row r="482" spans="1:16" ht="25.5" hidden="1" customHeight="1">
      <c r="A482" s="2" t="s">
        <v>9</v>
      </c>
      <c r="B482" s="102" t="s">
        <v>336</v>
      </c>
      <c r="C482" s="2" t="s">
        <v>1333</v>
      </c>
      <c r="D482" s="2" t="s">
        <v>1334</v>
      </c>
      <c r="H482" s="138" t="s">
        <v>1160</v>
      </c>
      <c r="I482" s="138"/>
      <c r="J482" s="5" t="s">
        <v>323</v>
      </c>
      <c r="K482" s="5" t="s">
        <v>328</v>
      </c>
      <c r="L482" s="5"/>
      <c r="M482" s="5" t="s">
        <v>1186</v>
      </c>
      <c r="N482" s="11" t="s">
        <v>1187</v>
      </c>
    </row>
    <row r="483" spans="1:16" ht="15" hidden="1" customHeight="1">
      <c r="A483" s="2" t="s">
        <v>9</v>
      </c>
      <c r="B483" s="102" t="s">
        <v>336</v>
      </c>
      <c r="C483" s="2" t="s">
        <v>1335</v>
      </c>
      <c r="D483" s="2" t="s">
        <v>1189</v>
      </c>
      <c r="I483" s="138"/>
      <c r="J483" s="5" t="s">
        <v>323</v>
      </c>
      <c r="K483" s="5" t="s">
        <v>329</v>
      </c>
      <c r="L483" s="5" t="s">
        <v>964</v>
      </c>
      <c r="M483" s="5" t="s">
        <v>715</v>
      </c>
    </row>
    <row r="484" spans="1:16" ht="15" hidden="1" customHeight="1">
      <c r="A484" s="2" t="s">
        <v>9</v>
      </c>
      <c r="B484" s="102" t="s">
        <v>336</v>
      </c>
      <c r="C484" s="2" t="s">
        <v>1336</v>
      </c>
      <c r="D484" s="2" t="s">
        <v>1191</v>
      </c>
      <c r="H484" s="138">
        <v>134</v>
      </c>
      <c r="I484" s="138"/>
      <c r="J484" s="5" t="s">
        <v>323</v>
      </c>
      <c r="K484" s="5" t="s">
        <v>328</v>
      </c>
      <c r="L484" s="5"/>
      <c r="M484" s="5" t="s">
        <v>1151</v>
      </c>
    </row>
    <row r="485" spans="1:16" ht="25.5" hidden="1" customHeight="1">
      <c r="A485" s="2" t="s">
        <v>9</v>
      </c>
      <c r="B485" s="102" t="s">
        <v>336</v>
      </c>
      <c r="C485" s="2" t="s">
        <v>1337</v>
      </c>
      <c r="D485" s="2" t="s">
        <v>1193</v>
      </c>
      <c r="H485" s="138">
        <v>984</v>
      </c>
      <c r="I485" s="138"/>
      <c r="J485" s="5" t="s">
        <v>323</v>
      </c>
      <c r="K485" s="5" t="s">
        <v>328</v>
      </c>
      <c r="L485" s="5"/>
    </row>
    <row r="486" spans="1:16" ht="15" hidden="1" customHeight="1">
      <c r="A486" s="2" t="s">
        <v>9</v>
      </c>
      <c r="B486" s="102" t="s">
        <v>336</v>
      </c>
      <c r="C486" s="2" t="s">
        <v>1338</v>
      </c>
      <c r="D486" s="2" t="s">
        <v>1339</v>
      </c>
      <c r="H486" s="138">
        <v>151</v>
      </c>
      <c r="I486" s="138"/>
      <c r="J486" s="5" t="s">
        <v>323</v>
      </c>
      <c r="K486" s="5" t="s">
        <v>328</v>
      </c>
      <c r="L486" s="5"/>
      <c r="M486" s="5" t="s">
        <v>478</v>
      </c>
      <c r="N486" s="11" t="s">
        <v>1183</v>
      </c>
    </row>
    <row r="487" spans="1:16" ht="15" hidden="1" customHeight="1">
      <c r="A487" s="2" t="s">
        <v>9</v>
      </c>
      <c r="B487" s="102" t="s">
        <v>336</v>
      </c>
      <c r="C487" s="2" t="s">
        <v>1340</v>
      </c>
      <c r="D487" s="2" t="s">
        <v>1341</v>
      </c>
      <c r="H487" s="138" t="s">
        <v>1160</v>
      </c>
      <c r="I487" s="138"/>
      <c r="J487" s="5" t="s">
        <v>323</v>
      </c>
      <c r="K487" s="5" t="s">
        <v>328</v>
      </c>
      <c r="L487" s="5"/>
      <c r="M487" s="5" t="s">
        <v>478</v>
      </c>
      <c r="N487" s="11" t="s">
        <v>1183</v>
      </c>
    </row>
    <row r="488" spans="1:16" ht="15" hidden="1" customHeight="1">
      <c r="A488" s="2" t="s">
        <v>9</v>
      </c>
      <c r="B488" s="102" t="s">
        <v>336</v>
      </c>
      <c r="C488" s="2" t="s">
        <v>1342</v>
      </c>
      <c r="D488" s="2" t="s">
        <v>1203</v>
      </c>
      <c r="H488" s="138" t="s">
        <v>1160</v>
      </c>
      <c r="I488" s="138"/>
      <c r="J488" s="5" t="s">
        <v>323</v>
      </c>
      <c r="K488" s="5" t="s">
        <v>328</v>
      </c>
      <c r="L488" s="5"/>
      <c r="M488" s="5" t="s">
        <v>478</v>
      </c>
      <c r="N488" s="11" t="s">
        <v>1183</v>
      </c>
    </row>
    <row r="489" spans="1:16" ht="15" hidden="1" customHeight="1">
      <c r="A489" s="2" t="s">
        <v>9</v>
      </c>
      <c r="B489" s="102" t="s">
        <v>336</v>
      </c>
      <c r="C489" s="2" t="s">
        <v>1343</v>
      </c>
      <c r="D489" s="2" t="s">
        <v>1205</v>
      </c>
      <c r="H489" s="138" t="s">
        <v>1160</v>
      </c>
      <c r="I489" s="138"/>
      <c r="J489" s="5" t="s">
        <v>323</v>
      </c>
      <c r="K489" s="5" t="s">
        <v>328</v>
      </c>
      <c r="L489" s="5"/>
      <c r="M489" s="5" t="s">
        <v>478</v>
      </c>
      <c r="N489" s="11" t="s">
        <v>1183</v>
      </c>
    </row>
    <row r="490" spans="1:16" ht="15" hidden="1" customHeight="1">
      <c r="A490" s="2" t="s">
        <v>9</v>
      </c>
      <c r="B490" s="102" t="s">
        <v>336</v>
      </c>
      <c r="C490" s="2" t="s">
        <v>1344</v>
      </c>
      <c r="D490" s="2" t="s">
        <v>1345</v>
      </c>
      <c r="H490" s="138" t="s">
        <v>1160</v>
      </c>
      <c r="I490" s="138"/>
      <c r="J490" s="5" t="s">
        <v>323</v>
      </c>
      <c r="K490" s="5" t="s">
        <v>328</v>
      </c>
      <c r="L490" s="5"/>
      <c r="M490" s="5" t="s">
        <v>478</v>
      </c>
      <c r="N490" s="11" t="s">
        <v>1183</v>
      </c>
    </row>
    <row r="491" spans="1:16" ht="15" hidden="1" customHeight="1">
      <c r="A491" s="2" t="s">
        <v>9</v>
      </c>
      <c r="B491" s="102" t="s">
        <v>336</v>
      </c>
      <c r="C491" s="2" t="s">
        <v>1346</v>
      </c>
      <c r="D491" s="2" t="s">
        <v>1347</v>
      </c>
      <c r="H491" s="138" t="s">
        <v>1160</v>
      </c>
      <c r="I491" s="138"/>
      <c r="J491" s="5" t="s">
        <v>323</v>
      </c>
      <c r="K491" s="5" t="s">
        <v>328</v>
      </c>
      <c r="L491" s="5"/>
      <c r="M491" s="5" t="s">
        <v>478</v>
      </c>
      <c r="N491" s="11" t="s">
        <v>1183</v>
      </c>
    </row>
    <row r="492" spans="1:16" ht="15" hidden="1" customHeight="1">
      <c r="A492" s="2" t="s">
        <v>239</v>
      </c>
      <c r="B492" s="2" t="s">
        <v>332</v>
      </c>
      <c r="C492" s="2" t="s">
        <v>1348</v>
      </c>
      <c r="D492" s="2" t="s">
        <v>772</v>
      </c>
      <c r="I492" s="138"/>
      <c r="J492" s="5" t="s">
        <v>323</v>
      </c>
      <c r="K492" s="5" t="s">
        <v>329</v>
      </c>
      <c r="L492" s="5" t="s">
        <v>857</v>
      </c>
      <c r="O492"/>
      <c r="P492"/>
    </row>
    <row r="493" spans="1:16" ht="15" hidden="1" customHeight="1">
      <c r="A493" s="2" t="s">
        <v>239</v>
      </c>
      <c r="B493" s="2" t="s">
        <v>332</v>
      </c>
      <c r="C493" s="2" t="s">
        <v>1349</v>
      </c>
      <c r="D493" s="2" t="s">
        <v>783</v>
      </c>
      <c r="I493" s="138"/>
      <c r="J493" s="5" t="s">
        <v>323</v>
      </c>
      <c r="K493" s="5" t="s">
        <v>329</v>
      </c>
      <c r="L493" s="5" t="s">
        <v>857</v>
      </c>
      <c r="O493"/>
      <c r="P493"/>
    </row>
    <row r="494" spans="1:16" ht="15" hidden="1" customHeight="1">
      <c r="A494" s="2" t="s">
        <v>239</v>
      </c>
      <c r="B494" s="2" t="s">
        <v>332</v>
      </c>
      <c r="C494" s="2" t="s">
        <v>1350</v>
      </c>
      <c r="D494" s="2" t="s">
        <v>581</v>
      </c>
      <c r="E494" s="21" t="s">
        <v>1351</v>
      </c>
      <c r="F494" s="129">
        <v>1</v>
      </c>
      <c r="G494" s="192">
        <v>1503</v>
      </c>
      <c r="H494" s="138">
        <v>1440</v>
      </c>
      <c r="I494" s="197">
        <f>(G494-(H494+H495))/G494</f>
        <v>-6.6533599467731202E-3</v>
      </c>
      <c r="J494" s="5" t="s">
        <v>321</v>
      </c>
      <c r="K494" s="5" t="s">
        <v>328</v>
      </c>
      <c r="L494" s="5"/>
      <c r="M494" s="5" t="s">
        <v>478</v>
      </c>
      <c r="O494" s="11" t="s">
        <v>376</v>
      </c>
      <c r="P494"/>
    </row>
    <row r="495" spans="1:16" ht="15" hidden="1" customHeight="1">
      <c r="A495" s="2" t="s">
        <v>239</v>
      </c>
      <c r="B495" s="2" t="s">
        <v>332</v>
      </c>
      <c r="C495" s="2" t="s">
        <v>1352</v>
      </c>
      <c r="D495" s="2" t="s">
        <v>585</v>
      </c>
      <c r="F495" s="129">
        <v>1</v>
      </c>
      <c r="G495" s="192"/>
      <c r="H495" s="138">
        <v>73</v>
      </c>
      <c r="I495" s="197"/>
      <c r="J495" s="5" t="s">
        <v>323</v>
      </c>
      <c r="K495" s="5" t="s">
        <v>328</v>
      </c>
      <c r="L495" s="5"/>
      <c r="M495" s="5" t="s">
        <v>478</v>
      </c>
      <c r="O495" s="11" t="s">
        <v>376</v>
      </c>
      <c r="P495"/>
    </row>
    <row r="496" spans="1:16" ht="15" hidden="1" customHeight="1">
      <c r="A496" s="2" t="s">
        <v>239</v>
      </c>
      <c r="B496" s="2" t="s">
        <v>332</v>
      </c>
      <c r="C496" s="2" t="s">
        <v>1353</v>
      </c>
      <c r="D496" s="2" t="s">
        <v>592</v>
      </c>
      <c r="H496" s="138">
        <v>1182</v>
      </c>
      <c r="I496" s="138"/>
      <c r="J496" s="5" t="s">
        <v>323</v>
      </c>
      <c r="K496" s="5" t="s">
        <v>328</v>
      </c>
      <c r="L496" s="5"/>
      <c r="M496" s="5" t="s">
        <v>546</v>
      </c>
      <c r="N496" s="11" t="s">
        <v>1354</v>
      </c>
      <c r="O496"/>
      <c r="P496"/>
    </row>
    <row r="497" spans="1:16" ht="15" hidden="1" customHeight="1">
      <c r="A497" s="2" t="s">
        <v>239</v>
      </c>
      <c r="B497" s="2" t="s">
        <v>332</v>
      </c>
      <c r="C497" s="2" t="s">
        <v>1355</v>
      </c>
      <c r="D497" s="2" t="s">
        <v>1356</v>
      </c>
      <c r="I497" s="138"/>
      <c r="J497" s="5" t="s">
        <v>323</v>
      </c>
      <c r="K497" s="5" t="s">
        <v>329</v>
      </c>
      <c r="L497" s="5" t="s">
        <v>857</v>
      </c>
      <c r="N497" s="11" t="s">
        <v>610</v>
      </c>
      <c r="O497"/>
      <c r="P497"/>
    </row>
    <row r="498" spans="1:16" ht="15" hidden="1" customHeight="1">
      <c r="A498" s="2" t="s">
        <v>239</v>
      </c>
      <c r="B498" s="2" t="s">
        <v>332</v>
      </c>
      <c r="C498" s="2" t="s">
        <v>1357</v>
      </c>
      <c r="D498" s="2" t="s">
        <v>612</v>
      </c>
      <c r="I498" s="138"/>
      <c r="J498" s="5" t="s">
        <v>323</v>
      </c>
      <c r="K498" s="5" t="s">
        <v>329</v>
      </c>
      <c r="L498" s="5" t="s">
        <v>610</v>
      </c>
      <c r="N498" s="11" t="s">
        <v>610</v>
      </c>
      <c r="O498"/>
      <c r="P498"/>
    </row>
    <row r="499" spans="1:16" ht="25.5" hidden="1" customHeight="1">
      <c r="A499" s="2" t="s">
        <v>239</v>
      </c>
      <c r="B499" s="2" t="s">
        <v>332</v>
      </c>
      <c r="C499" s="2" t="s">
        <v>1358</v>
      </c>
      <c r="D499" s="2" t="s">
        <v>806</v>
      </c>
      <c r="E499" s="21" t="s">
        <v>1359</v>
      </c>
      <c r="I499" s="138"/>
      <c r="J499" s="5" t="s">
        <v>323</v>
      </c>
      <c r="K499" s="5" t="s">
        <v>328</v>
      </c>
      <c r="L499" s="5" t="s">
        <v>390</v>
      </c>
      <c r="M499" s="5" t="s">
        <v>1360</v>
      </c>
      <c r="N499" s="11" t="s">
        <v>1361</v>
      </c>
      <c r="O499"/>
      <c r="P499"/>
    </row>
    <row r="500" spans="1:16" ht="25.5" hidden="1" customHeight="1">
      <c r="A500" s="2" t="s">
        <v>239</v>
      </c>
      <c r="B500" s="2" t="s">
        <v>332</v>
      </c>
      <c r="C500" s="2" t="s">
        <v>1362</v>
      </c>
      <c r="D500" s="2" t="s">
        <v>1363</v>
      </c>
      <c r="I500" s="138"/>
      <c r="J500" s="5" t="s">
        <v>323</v>
      </c>
      <c r="K500" s="5" t="s">
        <v>328</v>
      </c>
      <c r="L500" s="5" t="s">
        <v>390</v>
      </c>
      <c r="M500" s="5" t="s">
        <v>1360</v>
      </c>
      <c r="N500" s="11" t="s">
        <v>1361</v>
      </c>
      <c r="O500"/>
      <c r="P500"/>
    </row>
    <row r="501" spans="1:16" ht="15" hidden="1" customHeight="1">
      <c r="A501" s="2" t="s">
        <v>239</v>
      </c>
      <c r="B501" s="2" t="s">
        <v>332</v>
      </c>
      <c r="C501" s="2" t="s">
        <v>1364</v>
      </c>
      <c r="D501" s="2" t="s">
        <v>73</v>
      </c>
      <c r="E501" s="21" t="s">
        <v>603</v>
      </c>
      <c r="F501" s="129">
        <v>1</v>
      </c>
      <c r="G501" s="138">
        <v>1102</v>
      </c>
      <c r="H501" s="138">
        <v>1110</v>
      </c>
      <c r="I501" s="140">
        <f>(G501-H501)/G501</f>
        <v>-7.2595281306715061E-3</v>
      </c>
      <c r="J501" s="5" t="s">
        <v>321</v>
      </c>
      <c r="K501" s="5" t="s">
        <v>328</v>
      </c>
      <c r="L501" s="5"/>
      <c r="M501" s="5" t="s">
        <v>1365</v>
      </c>
      <c r="N501" s="36" t="s">
        <v>1366</v>
      </c>
      <c r="O501" t="s">
        <v>1367</v>
      </c>
      <c r="P501"/>
    </row>
    <row r="502" spans="1:16" ht="30" hidden="1" customHeight="1">
      <c r="A502" s="2" t="s">
        <v>239</v>
      </c>
      <c r="B502" s="2" t="s">
        <v>332</v>
      </c>
      <c r="C502" s="2" t="s">
        <v>1368</v>
      </c>
      <c r="D502" s="2" t="s">
        <v>625</v>
      </c>
      <c r="F502" s="129">
        <v>1</v>
      </c>
      <c r="G502" s="138">
        <v>599</v>
      </c>
      <c r="H502" s="138">
        <v>590</v>
      </c>
      <c r="I502" s="140">
        <f>(G502-H502)/G502</f>
        <v>1.5025041736227046E-2</v>
      </c>
      <c r="J502" s="5" t="s">
        <v>321</v>
      </c>
      <c r="K502" s="5" t="s">
        <v>328</v>
      </c>
      <c r="L502" s="5"/>
      <c r="M502" s="5" t="s">
        <v>1365</v>
      </c>
      <c r="N502" s="36" t="s">
        <v>1369</v>
      </c>
      <c r="O502" t="s">
        <v>1370</v>
      </c>
      <c r="P502"/>
    </row>
    <row r="503" spans="1:16" ht="15" hidden="1" customHeight="1">
      <c r="A503" s="2" t="s">
        <v>239</v>
      </c>
      <c r="B503" s="2" t="s">
        <v>332</v>
      </c>
      <c r="C503" s="2" t="s">
        <v>1371</v>
      </c>
      <c r="D503" s="2" t="s">
        <v>630</v>
      </c>
      <c r="F503" s="129">
        <v>1</v>
      </c>
      <c r="G503" s="138">
        <v>672</v>
      </c>
      <c r="H503" s="138">
        <v>650</v>
      </c>
      <c r="I503" s="140">
        <f>(G503-H503)/G503</f>
        <v>3.273809523809524E-2</v>
      </c>
      <c r="J503" s="5" t="s">
        <v>320</v>
      </c>
      <c r="K503" s="5" t="s">
        <v>328</v>
      </c>
      <c r="L503" s="5"/>
      <c r="M503" s="5" t="s">
        <v>385</v>
      </c>
      <c r="N503" s="11" t="s">
        <v>1372</v>
      </c>
      <c r="O503" t="s">
        <v>1373</v>
      </c>
      <c r="P503"/>
    </row>
    <row r="504" spans="1:16" ht="15" hidden="1" customHeight="1">
      <c r="A504" s="2" t="s">
        <v>239</v>
      </c>
      <c r="B504" s="2" t="s">
        <v>332</v>
      </c>
      <c r="C504" s="2" t="s">
        <v>1374</v>
      </c>
      <c r="D504" s="2" t="s">
        <v>394</v>
      </c>
      <c r="H504" s="138">
        <v>224</v>
      </c>
      <c r="J504" s="5" t="s">
        <v>323</v>
      </c>
      <c r="K504" s="5" t="s">
        <v>328</v>
      </c>
      <c r="L504" s="5"/>
      <c r="M504" s="5" t="s">
        <v>385</v>
      </c>
      <c r="O504"/>
      <c r="P504"/>
    </row>
    <row r="505" spans="1:16" ht="15" hidden="1" customHeight="1">
      <c r="A505" s="2" t="s">
        <v>239</v>
      </c>
      <c r="B505" s="2" t="s">
        <v>332</v>
      </c>
      <c r="C505" s="2" t="s">
        <v>1375</v>
      </c>
      <c r="D505" s="2" t="s">
        <v>823</v>
      </c>
      <c r="I505" s="138"/>
      <c r="J505" s="5" t="s">
        <v>323</v>
      </c>
      <c r="K505" s="5" t="s">
        <v>329</v>
      </c>
      <c r="L505" s="5" t="s">
        <v>571</v>
      </c>
      <c r="O505"/>
      <c r="P505"/>
    </row>
    <row r="506" spans="1:16" ht="15" hidden="1" customHeight="1">
      <c r="A506" s="2" t="s">
        <v>239</v>
      </c>
      <c r="B506" s="2" t="s">
        <v>332</v>
      </c>
      <c r="C506" s="2" t="s">
        <v>1376</v>
      </c>
      <c r="D506" s="2" t="s">
        <v>649</v>
      </c>
      <c r="H506" s="138">
        <v>226</v>
      </c>
      <c r="I506" s="138"/>
      <c r="J506" s="5" t="s">
        <v>323</v>
      </c>
      <c r="K506" s="5" t="s">
        <v>328</v>
      </c>
      <c r="L506" s="5"/>
      <c r="M506" s="5" t="s">
        <v>546</v>
      </c>
      <c r="O506"/>
      <c r="P506"/>
    </row>
    <row r="507" spans="1:16" ht="15" hidden="1" customHeight="1">
      <c r="A507" s="2" t="s">
        <v>239</v>
      </c>
      <c r="B507" s="2" t="s">
        <v>332</v>
      </c>
      <c r="C507" s="2" t="s">
        <v>1377</v>
      </c>
      <c r="D507" s="2" t="s">
        <v>656</v>
      </c>
      <c r="H507" s="138">
        <v>281</v>
      </c>
      <c r="I507" s="138"/>
      <c r="J507" s="5" t="s">
        <v>323</v>
      </c>
      <c r="K507" s="5" t="s">
        <v>328</v>
      </c>
      <c r="L507" s="5"/>
      <c r="M507" s="5" t="s">
        <v>784</v>
      </c>
      <c r="O507"/>
      <c r="P507"/>
    </row>
    <row r="508" spans="1:16" ht="25.5" hidden="1" customHeight="1">
      <c r="A508" s="2" t="s">
        <v>239</v>
      </c>
      <c r="B508" s="2" t="s">
        <v>332</v>
      </c>
      <c r="C508" s="2" t="s">
        <v>1378</v>
      </c>
      <c r="D508" s="2" t="s">
        <v>109</v>
      </c>
      <c r="F508" s="129">
        <v>1</v>
      </c>
      <c r="H508" s="138">
        <v>590</v>
      </c>
      <c r="I508" s="138"/>
      <c r="J508" s="5" t="s">
        <v>323</v>
      </c>
      <c r="K508" s="5" t="s">
        <v>329</v>
      </c>
      <c r="L508" s="5" t="s">
        <v>1379</v>
      </c>
      <c r="M508" s="5" t="s">
        <v>1365</v>
      </c>
      <c r="N508" s="11" t="s">
        <v>1380</v>
      </c>
      <c r="O508" t="s">
        <v>479</v>
      </c>
      <c r="P508"/>
    </row>
    <row r="509" spans="1:16" ht="15" hidden="1" customHeight="1">
      <c r="A509" s="2" t="s">
        <v>239</v>
      </c>
      <c r="B509" s="2" t="s">
        <v>332</v>
      </c>
      <c r="C509" s="2" t="s">
        <v>1381</v>
      </c>
      <c r="D509" s="2" t="s">
        <v>1382</v>
      </c>
      <c r="I509" s="138"/>
      <c r="J509" s="5" t="s">
        <v>323</v>
      </c>
      <c r="K509" s="5" t="s">
        <v>329</v>
      </c>
      <c r="L509" s="5" t="s">
        <v>857</v>
      </c>
      <c r="O509"/>
      <c r="P509"/>
    </row>
    <row r="510" spans="1:16" ht="30" hidden="1" customHeight="1">
      <c r="A510" s="2" t="s">
        <v>239</v>
      </c>
      <c r="B510" s="2" t="s">
        <v>332</v>
      </c>
      <c r="C510" s="2" t="s">
        <v>1383</v>
      </c>
      <c r="D510" s="2" t="s">
        <v>477</v>
      </c>
      <c r="H510" s="138" t="s">
        <v>1384</v>
      </c>
      <c r="I510" s="138"/>
      <c r="J510" s="5" t="s">
        <v>323</v>
      </c>
      <c r="K510" s="5" t="s">
        <v>328</v>
      </c>
      <c r="L510" s="5"/>
      <c r="M510" s="5" t="s">
        <v>1385</v>
      </c>
      <c r="N510" s="11" t="s">
        <v>1386</v>
      </c>
      <c r="O510"/>
      <c r="P510"/>
    </row>
    <row r="511" spans="1:16" ht="25.5" hidden="1" customHeight="1">
      <c r="A511" s="2" t="s">
        <v>239</v>
      </c>
      <c r="B511" s="2" t="s">
        <v>332</v>
      </c>
      <c r="C511" s="2" t="s">
        <v>1387</v>
      </c>
      <c r="D511" s="2" t="s">
        <v>481</v>
      </c>
      <c r="H511" s="138">
        <v>726</v>
      </c>
      <c r="I511" s="138"/>
      <c r="J511" s="5" t="s">
        <v>323</v>
      </c>
      <c r="K511" s="5" t="s">
        <v>328</v>
      </c>
      <c r="L511" s="5"/>
      <c r="M511" s="5" t="s">
        <v>546</v>
      </c>
      <c r="N511" s="11" t="s">
        <v>1388</v>
      </c>
      <c r="O511"/>
      <c r="P511"/>
    </row>
    <row r="512" spans="1:16" ht="15" hidden="1" customHeight="1">
      <c r="A512" s="2" t="s">
        <v>239</v>
      </c>
      <c r="B512" s="2" t="s">
        <v>332</v>
      </c>
      <c r="C512" s="2" t="s">
        <v>1389</v>
      </c>
      <c r="D512" s="2" t="s">
        <v>675</v>
      </c>
      <c r="I512" s="138"/>
      <c r="J512" s="5" t="s">
        <v>323</v>
      </c>
      <c r="K512" s="5" t="s">
        <v>329</v>
      </c>
      <c r="L512" s="5"/>
      <c r="M512" s="5" t="s">
        <v>340</v>
      </c>
      <c r="O512"/>
      <c r="P512"/>
    </row>
    <row r="513" spans="1:16" ht="15" customHeight="1">
      <c r="A513" s="2" t="s">
        <v>239</v>
      </c>
      <c r="B513" s="2" t="s">
        <v>332</v>
      </c>
      <c r="C513" s="2" t="s">
        <v>1390</v>
      </c>
      <c r="D513" s="2" t="s">
        <v>842</v>
      </c>
      <c r="F513" s="129">
        <v>1</v>
      </c>
      <c r="I513" s="138"/>
      <c r="J513" s="5" t="s">
        <v>323</v>
      </c>
      <c r="K513" s="5" t="s">
        <v>329</v>
      </c>
      <c r="L513" s="5"/>
      <c r="M513" s="5" t="s">
        <v>340</v>
      </c>
      <c r="N513" s="36" t="s">
        <v>1391</v>
      </c>
      <c r="O513" t="s">
        <v>1392</v>
      </c>
      <c r="P513"/>
    </row>
    <row r="514" spans="1:16" ht="25.5" hidden="1" customHeight="1">
      <c r="A514" s="2" t="s">
        <v>239</v>
      </c>
      <c r="B514" s="2" t="s">
        <v>332</v>
      </c>
      <c r="C514" s="2" t="s">
        <v>1393</v>
      </c>
      <c r="D514" s="2" t="s">
        <v>460</v>
      </c>
      <c r="I514" s="138"/>
      <c r="J514" s="5" t="s">
        <v>323</v>
      </c>
      <c r="K514" s="5" t="s">
        <v>329</v>
      </c>
      <c r="L514" s="5"/>
      <c r="M514" s="5" t="s">
        <v>340</v>
      </c>
      <c r="O514"/>
      <c r="P514"/>
    </row>
    <row r="515" spans="1:16" ht="15" hidden="1" customHeight="1">
      <c r="A515" s="2" t="s">
        <v>239</v>
      </c>
      <c r="B515" s="2" t="s">
        <v>332</v>
      </c>
      <c r="C515" s="2" t="s">
        <v>1394</v>
      </c>
      <c r="D515" s="2" t="s">
        <v>683</v>
      </c>
      <c r="H515" s="138">
        <v>1239</v>
      </c>
      <c r="I515" s="138"/>
      <c r="J515" s="5" t="s">
        <v>323</v>
      </c>
      <c r="K515" s="5" t="s">
        <v>328</v>
      </c>
      <c r="L515" s="5"/>
      <c r="M515" s="5" t="s">
        <v>784</v>
      </c>
      <c r="O515"/>
      <c r="P515"/>
    </row>
    <row r="516" spans="1:16" ht="38.25" hidden="1" customHeight="1">
      <c r="A516" s="2" t="s">
        <v>239</v>
      </c>
      <c r="B516" s="2" t="s">
        <v>332</v>
      </c>
      <c r="C516" s="2" t="s">
        <v>1395</v>
      </c>
      <c r="D516" s="2" t="s">
        <v>198</v>
      </c>
      <c r="H516" s="138" t="s">
        <v>1160</v>
      </c>
      <c r="I516" s="138"/>
      <c r="J516" s="5" t="s">
        <v>323</v>
      </c>
      <c r="K516" s="5" t="s">
        <v>329</v>
      </c>
      <c r="L516" s="5"/>
      <c r="M516" s="5" t="s">
        <v>1396</v>
      </c>
      <c r="O516"/>
      <c r="P516"/>
    </row>
    <row r="517" spans="1:16" ht="30" hidden="1" customHeight="1">
      <c r="A517" s="2" t="s">
        <v>239</v>
      </c>
      <c r="B517" s="2" t="s">
        <v>332</v>
      </c>
      <c r="C517" s="2" t="s">
        <v>1397</v>
      </c>
      <c r="D517" s="2" t="s">
        <v>1398</v>
      </c>
      <c r="I517" s="138"/>
      <c r="J517" s="5" t="s">
        <v>323</v>
      </c>
      <c r="K517" s="5" t="s">
        <v>329</v>
      </c>
      <c r="L517" s="5" t="s">
        <v>610</v>
      </c>
      <c r="M517" s="5" t="s">
        <v>385</v>
      </c>
      <c r="N517" s="11" t="s">
        <v>1399</v>
      </c>
      <c r="O517"/>
      <c r="P517"/>
    </row>
    <row r="518" spans="1:16" ht="15" hidden="1" customHeight="1">
      <c r="A518" s="2" t="s">
        <v>239</v>
      </c>
      <c r="B518" s="2" t="s">
        <v>332</v>
      </c>
      <c r="C518" s="2" t="s">
        <v>1400</v>
      </c>
      <c r="D518" s="2" t="s">
        <v>504</v>
      </c>
      <c r="F518" s="129">
        <v>1</v>
      </c>
      <c r="H518" s="138">
        <v>1054</v>
      </c>
      <c r="I518" s="138"/>
      <c r="J518" s="5" t="s">
        <v>323</v>
      </c>
      <c r="K518" s="5" t="s">
        <v>328</v>
      </c>
      <c r="L518" s="5"/>
      <c r="O518" t="s">
        <v>479</v>
      </c>
      <c r="P518"/>
    </row>
    <row r="519" spans="1:16" ht="25.5" hidden="1" customHeight="1">
      <c r="A519" s="2" t="s">
        <v>239</v>
      </c>
      <c r="B519" s="2" t="s">
        <v>332</v>
      </c>
      <c r="C519" s="2" t="s">
        <v>1401</v>
      </c>
      <c r="D519" s="2" t="s">
        <v>691</v>
      </c>
      <c r="I519" s="138"/>
      <c r="J519" s="5" t="s">
        <v>323</v>
      </c>
      <c r="K519" s="5" t="s">
        <v>329</v>
      </c>
      <c r="L519" s="5" t="s">
        <v>1402</v>
      </c>
      <c r="M519" s="5" t="s">
        <v>1403</v>
      </c>
      <c r="O519"/>
      <c r="P519"/>
    </row>
    <row r="520" spans="1:16" ht="25.5" hidden="1" customHeight="1">
      <c r="A520" s="2" t="s">
        <v>239</v>
      </c>
      <c r="B520" s="2" t="s">
        <v>332</v>
      </c>
      <c r="C520" s="2" t="s">
        <v>1404</v>
      </c>
      <c r="D520" s="2" t="s">
        <v>697</v>
      </c>
      <c r="I520" s="138"/>
      <c r="J520" s="5" t="s">
        <v>323</v>
      </c>
      <c r="K520" s="5" t="s">
        <v>329</v>
      </c>
      <c r="L520" s="5" t="s">
        <v>1402</v>
      </c>
      <c r="M520" s="5" t="s">
        <v>1403</v>
      </c>
      <c r="O520"/>
      <c r="P520"/>
    </row>
    <row r="521" spans="1:16" ht="25.5" hidden="1" customHeight="1">
      <c r="A521" s="2" t="s">
        <v>239</v>
      </c>
      <c r="B521" s="2" t="s">
        <v>332</v>
      </c>
      <c r="C521" s="2" t="s">
        <v>1405</v>
      </c>
      <c r="D521" s="2" t="s">
        <v>701</v>
      </c>
      <c r="I521" s="138"/>
      <c r="J521" s="5" t="s">
        <v>323</v>
      </c>
      <c r="K521" s="5" t="s">
        <v>329</v>
      </c>
      <c r="L521" s="5" t="s">
        <v>1402</v>
      </c>
      <c r="M521" s="5" t="s">
        <v>1403</v>
      </c>
      <c r="O521"/>
      <c r="P521"/>
    </row>
    <row r="522" spans="1:16" ht="25.5" hidden="1" customHeight="1">
      <c r="A522" s="2" t="s">
        <v>239</v>
      </c>
      <c r="B522" s="2" t="s">
        <v>332</v>
      </c>
      <c r="C522" s="2" t="s">
        <v>1406</v>
      </c>
      <c r="D522" s="2" t="s">
        <v>709</v>
      </c>
      <c r="I522" s="138"/>
      <c r="J522" s="5" t="s">
        <v>323</v>
      </c>
      <c r="K522" s="5" t="s">
        <v>329</v>
      </c>
      <c r="L522" s="5" t="s">
        <v>1402</v>
      </c>
      <c r="M522" s="5" t="s">
        <v>1403</v>
      </c>
      <c r="O522"/>
      <c r="P522"/>
    </row>
    <row r="523" spans="1:16" ht="25.5" hidden="1" customHeight="1">
      <c r="A523" s="2" t="s">
        <v>239</v>
      </c>
      <c r="B523" s="2" t="s">
        <v>332</v>
      </c>
      <c r="C523" s="2" t="s">
        <v>1407</v>
      </c>
      <c r="D523" s="2" t="s">
        <v>711</v>
      </c>
      <c r="I523" s="138"/>
      <c r="J523" s="5" t="s">
        <v>323</v>
      </c>
      <c r="K523" s="5" t="s">
        <v>329</v>
      </c>
      <c r="L523" s="5" t="s">
        <v>1402</v>
      </c>
      <c r="M523" s="5" t="s">
        <v>1403</v>
      </c>
      <c r="O523"/>
      <c r="P523"/>
    </row>
    <row r="524" spans="1:16" ht="25.5" hidden="1" customHeight="1">
      <c r="A524" s="2" t="s">
        <v>239</v>
      </c>
      <c r="B524" s="2" t="s">
        <v>332</v>
      </c>
      <c r="C524" s="2" t="s">
        <v>1408</v>
      </c>
      <c r="D524" s="2" t="s">
        <v>714</v>
      </c>
      <c r="I524" s="138"/>
      <c r="J524" s="5" t="s">
        <v>323</v>
      </c>
      <c r="K524" s="5" t="s">
        <v>329</v>
      </c>
      <c r="L524" s="5" t="s">
        <v>1402</v>
      </c>
      <c r="M524" s="5" t="s">
        <v>1403</v>
      </c>
      <c r="O524"/>
      <c r="P524"/>
    </row>
    <row r="525" spans="1:16" ht="15" hidden="1" customHeight="1">
      <c r="A525" s="2" t="s">
        <v>239</v>
      </c>
      <c r="B525" s="2" t="s">
        <v>332</v>
      </c>
      <c r="C525" s="2" t="s">
        <v>1409</v>
      </c>
      <c r="D525" s="2" t="s">
        <v>717</v>
      </c>
      <c r="H525" s="138">
        <v>426</v>
      </c>
      <c r="I525" s="138"/>
      <c r="J525" s="5" t="s">
        <v>323</v>
      </c>
      <c r="K525" s="5" t="s">
        <v>328</v>
      </c>
      <c r="L525" s="5"/>
      <c r="M525" s="5" t="s">
        <v>784</v>
      </c>
      <c r="O525"/>
      <c r="P525"/>
    </row>
    <row r="526" spans="1:16" ht="15" hidden="1" customHeight="1">
      <c r="A526" s="2" t="s">
        <v>239</v>
      </c>
      <c r="B526" s="2" t="s">
        <v>332</v>
      </c>
      <c r="C526" s="2" t="s">
        <v>1410</v>
      </c>
      <c r="D526" s="2" t="s">
        <v>720</v>
      </c>
      <c r="H526" s="138">
        <v>227</v>
      </c>
      <c r="I526" s="138"/>
      <c r="J526" s="5" t="s">
        <v>323</v>
      </c>
      <c r="K526" s="5" t="s">
        <v>328</v>
      </c>
      <c r="L526" s="5"/>
      <c r="M526" s="5" t="s">
        <v>546</v>
      </c>
      <c r="O526"/>
      <c r="P526"/>
    </row>
    <row r="527" spans="1:16" ht="15" hidden="1" customHeight="1">
      <c r="A527" s="2" t="s">
        <v>239</v>
      </c>
      <c r="B527" s="2" t="s">
        <v>332</v>
      </c>
      <c r="C527" s="2" t="s">
        <v>1411</v>
      </c>
      <c r="D527" s="2" t="s">
        <v>723</v>
      </c>
      <c r="H527" s="138">
        <v>0</v>
      </c>
      <c r="I527" s="138"/>
      <c r="J527" s="5" t="s">
        <v>323</v>
      </c>
      <c r="K527" s="5" t="s">
        <v>328</v>
      </c>
      <c r="L527" s="5"/>
      <c r="M527" s="5" t="s">
        <v>546</v>
      </c>
      <c r="O527"/>
      <c r="P527"/>
    </row>
    <row r="528" spans="1:16" ht="15" hidden="1" customHeight="1">
      <c r="A528" s="2" t="s">
        <v>239</v>
      </c>
      <c r="B528" s="2" t="s">
        <v>332</v>
      </c>
      <c r="C528" s="2" t="s">
        <v>1412</v>
      </c>
      <c r="D528" s="2" t="s">
        <v>731</v>
      </c>
      <c r="H528" s="138">
        <v>66</v>
      </c>
      <c r="I528" s="138"/>
      <c r="J528" s="5" t="s">
        <v>323</v>
      </c>
      <c r="K528" s="5" t="s">
        <v>328</v>
      </c>
      <c r="L528" s="5"/>
      <c r="M528" s="5" t="s">
        <v>784</v>
      </c>
      <c r="O528"/>
      <c r="P528"/>
    </row>
    <row r="529" spans="1:16" ht="15" hidden="1" customHeight="1">
      <c r="A529" s="2" t="s">
        <v>239</v>
      </c>
      <c r="B529" s="2" t="s">
        <v>332</v>
      </c>
      <c r="C529" s="2" t="s">
        <v>1413</v>
      </c>
      <c r="D529" s="2" t="s">
        <v>733</v>
      </c>
      <c r="H529" s="138" t="s">
        <v>448</v>
      </c>
      <c r="I529" s="138"/>
      <c r="J529" s="5" t="s">
        <v>323</v>
      </c>
      <c r="K529" s="5" t="s">
        <v>328</v>
      </c>
      <c r="L529" s="5"/>
      <c r="M529" s="5" t="s">
        <v>784</v>
      </c>
      <c r="O529"/>
      <c r="P529"/>
    </row>
    <row r="530" spans="1:16" ht="15" hidden="1" customHeight="1">
      <c r="A530" s="2" t="s">
        <v>239</v>
      </c>
      <c r="B530" s="2" t="s">
        <v>332</v>
      </c>
      <c r="C530" s="2" t="s">
        <v>1414</v>
      </c>
      <c r="D530" s="2" t="s">
        <v>736</v>
      </c>
      <c r="H530" s="138">
        <v>161</v>
      </c>
      <c r="I530" s="138"/>
      <c r="J530" s="5" t="s">
        <v>323</v>
      </c>
      <c r="K530" s="5" t="s">
        <v>328</v>
      </c>
      <c r="L530" s="5"/>
      <c r="O530"/>
      <c r="P530"/>
    </row>
    <row r="531" spans="1:16" ht="15" hidden="1" customHeight="1">
      <c r="A531" s="2" t="s">
        <v>239</v>
      </c>
      <c r="B531" s="2" t="s">
        <v>332</v>
      </c>
      <c r="C531" s="2" t="s">
        <v>1415</v>
      </c>
      <c r="D531" s="14" t="s">
        <v>94</v>
      </c>
      <c r="I531" s="138"/>
      <c r="J531" s="5" t="s">
        <v>323</v>
      </c>
      <c r="K531" s="5" t="s">
        <v>329</v>
      </c>
      <c r="L531" s="5"/>
      <c r="M531" s="5" t="s">
        <v>340</v>
      </c>
      <c r="O531"/>
      <c r="P531"/>
    </row>
    <row r="532" spans="1:16" ht="15" hidden="1" customHeight="1">
      <c r="A532" s="2" t="s">
        <v>239</v>
      </c>
      <c r="B532" s="2" t="s">
        <v>332</v>
      </c>
      <c r="C532" s="2" t="s">
        <v>1416</v>
      </c>
      <c r="D532" s="14" t="s">
        <v>739</v>
      </c>
      <c r="I532" s="138"/>
      <c r="J532" s="5" t="s">
        <v>323</v>
      </c>
      <c r="K532" s="5" t="s">
        <v>329</v>
      </c>
      <c r="L532" s="5"/>
      <c r="M532" s="5" t="s">
        <v>340</v>
      </c>
      <c r="O532"/>
      <c r="P532"/>
    </row>
    <row r="533" spans="1:16" ht="15" hidden="1" customHeight="1">
      <c r="A533" s="2" t="s">
        <v>239</v>
      </c>
      <c r="B533" s="2" t="s">
        <v>332</v>
      </c>
      <c r="C533" s="2" t="s">
        <v>1417</v>
      </c>
      <c r="D533" s="14" t="s">
        <v>96</v>
      </c>
      <c r="I533" s="138"/>
      <c r="J533" s="5" t="s">
        <v>323</v>
      </c>
      <c r="K533" s="5" t="s">
        <v>329</v>
      </c>
      <c r="L533" s="5"/>
      <c r="M533" s="5" t="s">
        <v>340</v>
      </c>
      <c r="O533"/>
      <c r="P533"/>
    </row>
    <row r="534" spans="1:16" ht="15" hidden="1" customHeight="1">
      <c r="A534" s="2" t="s">
        <v>239</v>
      </c>
      <c r="B534" s="2" t="s">
        <v>332</v>
      </c>
      <c r="C534" s="2" t="s">
        <v>1418</v>
      </c>
      <c r="D534" s="19" t="s">
        <v>878</v>
      </c>
      <c r="I534" s="138"/>
      <c r="J534" s="5" t="s">
        <v>323</v>
      </c>
      <c r="K534" s="5" t="s">
        <v>329</v>
      </c>
      <c r="L534" s="5"/>
      <c r="M534" s="5" t="s">
        <v>340</v>
      </c>
      <c r="O534"/>
      <c r="P534"/>
    </row>
    <row r="535" spans="1:16" ht="15" hidden="1" customHeight="1">
      <c r="A535" s="2" t="s">
        <v>239</v>
      </c>
      <c r="B535" s="2" t="s">
        <v>332</v>
      </c>
      <c r="C535" s="2" t="s">
        <v>1419</v>
      </c>
      <c r="D535" s="19" t="s">
        <v>744</v>
      </c>
      <c r="I535" s="138"/>
      <c r="J535" s="5" t="s">
        <v>323</v>
      </c>
      <c r="K535" s="5" t="s">
        <v>329</v>
      </c>
      <c r="L535" s="5"/>
      <c r="M535" s="5" t="s">
        <v>340</v>
      </c>
      <c r="O535"/>
      <c r="P535"/>
    </row>
    <row r="536" spans="1:16" ht="15" hidden="1" customHeight="1">
      <c r="A536" s="2" t="s">
        <v>239</v>
      </c>
      <c r="B536" s="2" t="s">
        <v>332</v>
      </c>
      <c r="C536" s="2" t="s">
        <v>1420</v>
      </c>
      <c r="D536" s="19" t="s">
        <v>746</v>
      </c>
      <c r="I536" s="138"/>
      <c r="J536" s="5" t="s">
        <v>323</v>
      </c>
      <c r="K536" s="5" t="s">
        <v>329</v>
      </c>
      <c r="L536" s="5"/>
      <c r="M536" s="5" t="s">
        <v>340</v>
      </c>
      <c r="O536"/>
      <c r="P536"/>
    </row>
    <row r="537" spans="1:16" ht="15" hidden="1" customHeight="1">
      <c r="A537" s="2" t="s">
        <v>239</v>
      </c>
      <c r="B537" s="2" t="s">
        <v>332</v>
      </c>
      <c r="C537" s="2" t="s">
        <v>1421</v>
      </c>
      <c r="D537" s="19" t="s">
        <v>34</v>
      </c>
      <c r="H537" s="138">
        <v>751</v>
      </c>
      <c r="I537" s="138"/>
      <c r="J537" s="5" t="s">
        <v>323</v>
      </c>
      <c r="K537" s="5" t="s">
        <v>328</v>
      </c>
      <c r="L537" s="5"/>
      <c r="M537" s="5" t="s">
        <v>546</v>
      </c>
      <c r="N537" s="11" t="s">
        <v>1422</v>
      </c>
      <c r="O537"/>
      <c r="P537"/>
    </row>
    <row r="538" spans="1:16" ht="15" hidden="1" customHeight="1">
      <c r="A538" s="2" t="s">
        <v>239</v>
      </c>
      <c r="B538" s="2" t="s">
        <v>332</v>
      </c>
      <c r="C538" s="2" t="s">
        <v>1423</v>
      </c>
      <c r="D538" s="19" t="s">
        <v>35</v>
      </c>
      <c r="H538" s="138">
        <v>6</v>
      </c>
      <c r="I538" s="138"/>
      <c r="J538" s="5" t="s">
        <v>323</v>
      </c>
      <c r="K538" s="5" t="s">
        <v>328</v>
      </c>
      <c r="L538" s="5"/>
      <c r="M538" s="5" t="s">
        <v>490</v>
      </c>
      <c r="N538" s="11" t="s">
        <v>1424</v>
      </c>
      <c r="O538"/>
      <c r="P538"/>
    </row>
    <row r="539" spans="1:16" ht="15" hidden="1" customHeight="1">
      <c r="A539" s="2" t="s">
        <v>239</v>
      </c>
      <c r="B539" s="2" t="s">
        <v>332</v>
      </c>
      <c r="C539" s="2" t="s">
        <v>1425</v>
      </c>
      <c r="D539" s="19" t="s">
        <v>545</v>
      </c>
      <c r="H539" s="138">
        <v>751</v>
      </c>
      <c r="I539" s="138"/>
      <c r="J539" s="5" t="s">
        <v>323</v>
      </c>
      <c r="K539" s="5" t="s">
        <v>328</v>
      </c>
      <c r="L539" s="5"/>
      <c r="M539" s="5" t="s">
        <v>546</v>
      </c>
      <c r="O539"/>
      <c r="P539"/>
    </row>
    <row r="540" spans="1:16" ht="15" hidden="1" customHeight="1">
      <c r="A540" s="2" t="s">
        <v>239</v>
      </c>
      <c r="B540" s="2" t="s">
        <v>332</v>
      </c>
      <c r="C540" s="2" t="s">
        <v>1426</v>
      </c>
      <c r="D540" s="19" t="s">
        <v>548</v>
      </c>
      <c r="H540" s="138">
        <v>583</v>
      </c>
      <c r="I540" s="138"/>
      <c r="J540" s="5" t="s">
        <v>323</v>
      </c>
      <c r="K540" s="5" t="s">
        <v>328</v>
      </c>
      <c r="L540" s="5"/>
      <c r="M540" s="5" t="s">
        <v>546</v>
      </c>
      <c r="O540"/>
      <c r="P540"/>
    </row>
    <row r="541" spans="1:16" ht="15" hidden="1" customHeight="1">
      <c r="A541" s="2" t="s">
        <v>239</v>
      </c>
      <c r="B541" s="2" t="s">
        <v>332</v>
      </c>
      <c r="C541" s="2" t="s">
        <v>1427</v>
      </c>
      <c r="D541" s="19" t="s">
        <v>36</v>
      </c>
      <c r="H541" s="138">
        <v>5</v>
      </c>
      <c r="I541" s="138"/>
      <c r="J541" s="5" t="s">
        <v>323</v>
      </c>
      <c r="K541" s="5" t="s">
        <v>328</v>
      </c>
      <c r="L541" s="5"/>
      <c r="M541" s="5" t="s">
        <v>551</v>
      </c>
      <c r="N541" s="11" t="s">
        <v>1424</v>
      </c>
      <c r="O541"/>
      <c r="P541"/>
    </row>
    <row r="542" spans="1:16" ht="15" hidden="1" customHeight="1">
      <c r="A542" s="2" t="s">
        <v>239</v>
      </c>
      <c r="B542" s="2" t="s">
        <v>332</v>
      </c>
      <c r="C542" s="2" t="s">
        <v>1428</v>
      </c>
      <c r="D542" s="19" t="s">
        <v>554</v>
      </c>
      <c r="H542" s="138">
        <v>19</v>
      </c>
      <c r="I542" s="138"/>
      <c r="J542" s="5" t="s">
        <v>323</v>
      </c>
      <c r="K542" s="5" t="s">
        <v>328</v>
      </c>
      <c r="L542" s="5"/>
      <c r="M542" s="5" t="s">
        <v>478</v>
      </c>
      <c r="O542"/>
      <c r="P542"/>
    </row>
    <row r="543" spans="1:16" ht="15" hidden="1" customHeight="1">
      <c r="A543" s="2" t="s">
        <v>239</v>
      </c>
      <c r="B543" s="2" t="s">
        <v>332</v>
      </c>
      <c r="C543" s="2" t="s">
        <v>1429</v>
      </c>
      <c r="D543" s="19" t="s">
        <v>556</v>
      </c>
      <c r="H543" s="138">
        <v>5</v>
      </c>
      <c r="I543" s="138"/>
      <c r="J543" s="5" t="s">
        <v>323</v>
      </c>
      <c r="K543" s="5" t="s">
        <v>328</v>
      </c>
      <c r="L543" s="5"/>
      <c r="M543" s="5" t="s">
        <v>551</v>
      </c>
      <c r="N543" s="11" t="s">
        <v>1424</v>
      </c>
      <c r="O543"/>
      <c r="P543"/>
    </row>
    <row r="544" spans="1:16" ht="15" hidden="1" customHeight="1">
      <c r="A544" s="2" t="s">
        <v>239</v>
      </c>
      <c r="B544" s="2" t="s">
        <v>332</v>
      </c>
      <c r="C544" s="2" t="s">
        <v>1430</v>
      </c>
      <c r="D544" s="19" t="s">
        <v>559</v>
      </c>
      <c r="H544" s="138">
        <v>1051</v>
      </c>
      <c r="I544" s="138"/>
      <c r="J544" s="5" t="s">
        <v>323</v>
      </c>
      <c r="K544" s="5" t="s">
        <v>328</v>
      </c>
      <c r="L544" s="5"/>
      <c r="M544" s="5" t="s">
        <v>478</v>
      </c>
      <c r="N544" s="11" t="s">
        <v>1431</v>
      </c>
      <c r="O544"/>
      <c r="P544"/>
    </row>
    <row r="545" spans="1:16" ht="15" hidden="1" customHeight="1">
      <c r="A545" s="2" t="s">
        <v>239</v>
      </c>
      <c r="B545" s="2" t="s">
        <v>332</v>
      </c>
      <c r="C545" s="2" t="s">
        <v>1432</v>
      </c>
      <c r="D545" s="19" t="s">
        <v>56</v>
      </c>
      <c r="H545" s="138" t="s">
        <v>448</v>
      </c>
      <c r="I545" s="138"/>
      <c r="J545" s="5" t="s">
        <v>323</v>
      </c>
      <c r="K545" s="5" t="s">
        <v>329</v>
      </c>
      <c r="L545" s="5" t="s">
        <v>1433</v>
      </c>
      <c r="M545" s="5" t="s">
        <v>478</v>
      </c>
      <c r="N545" s="11" t="s">
        <v>1434</v>
      </c>
      <c r="O545"/>
      <c r="P545"/>
    </row>
    <row r="546" spans="1:16" ht="15" hidden="1" customHeight="1">
      <c r="A546" s="2" t="s">
        <v>239</v>
      </c>
      <c r="B546" s="2" t="s">
        <v>332</v>
      </c>
      <c r="C546" s="2" t="s">
        <v>1435</v>
      </c>
      <c r="D546" s="19" t="s">
        <v>562</v>
      </c>
      <c r="H546" s="138" t="s">
        <v>448</v>
      </c>
      <c r="I546" s="138"/>
      <c r="J546" s="5" t="s">
        <v>323</v>
      </c>
      <c r="K546" s="5" t="s">
        <v>329</v>
      </c>
      <c r="L546" s="5" t="s">
        <v>1433</v>
      </c>
      <c r="M546" s="5" t="s">
        <v>478</v>
      </c>
      <c r="O546"/>
      <c r="P546"/>
    </row>
    <row r="547" spans="1:16" ht="15" hidden="1" customHeight="1">
      <c r="A547" s="2" t="s">
        <v>239</v>
      </c>
      <c r="B547" s="2" t="s">
        <v>332</v>
      </c>
      <c r="C547" s="2" t="s">
        <v>1436</v>
      </c>
      <c r="D547" s="19" t="s">
        <v>565</v>
      </c>
      <c r="H547" s="138" t="s">
        <v>448</v>
      </c>
      <c r="I547" s="138"/>
      <c r="J547" s="5" t="s">
        <v>323</v>
      </c>
      <c r="K547" s="5" t="s">
        <v>329</v>
      </c>
      <c r="L547" s="5" t="s">
        <v>1433</v>
      </c>
      <c r="M547" s="5" t="s">
        <v>478</v>
      </c>
      <c r="O547"/>
      <c r="P547"/>
    </row>
    <row r="548" spans="1:16" ht="15" hidden="1" customHeight="1">
      <c r="A548" s="2" t="s">
        <v>239</v>
      </c>
      <c r="B548" s="2" t="s">
        <v>332</v>
      </c>
      <c r="C548" s="2" t="s">
        <v>1437</v>
      </c>
      <c r="D548" s="19" t="s">
        <v>59</v>
      </c>
      <c r="H548" s="138" t="s">
        <v>448</v>
      </c>
      <c r="I548" s="138"/>
      <c r="J548" s="5" t="s">
        <v>323</v>
      </c>
      <c r="K548" s="5" t="s">
        <v>329</v>
      </c>
      <c r="L548" s="5" t="s">
        <v>1433</v>
      </c>
      <c r="M548" s="5" t="s">
        <v>478</v>
      </c>
      <c r="O548"/>
      <c r="P548"/>
    </row>
    <row r="549" spans="1:16" ht="15" hidden="1" customHeight="1">
      <c r="A549" s="2" t="s">
        <v>239</v>
      </c>
      <c r="B549" s="26" t="s">
        <v>896</v>
      </c>
      <c r="C549" s="2" t="s">
        <v>1438</v>
      </c>
      <c r="D549" s="2" t="s">
        <v>367</v>
      </c>
      <c r="I549" s="138"/>
      <c r="J549" s="5" t="s">
        <v>323</v>
      </c>
      <c r="K549" s="5" t="s">
        <v>330</v>
      </c>
      <c r="L549" s="5"/>
      <c r="O549"/>
      <c r="P549"/>
    </row>
    <row r="550" spans="1:16" ht="15" hidden="1" customHeight="1">
      <c r="A550" s="2" t="s">
        <v>239</v>
      </c>
      <c r="B550" s="26" t="s">
        <v>331</v>
      </c>
      <c r="C550" s="2" t="s">
        <v>1439</v>
      </c>
      <c r="D550" s="2" t="s">
        <v>372</v>
      </c>
      <c r="E550" s="21" t="s">
        <v>432</v>
      </c>
      <c r="F550" s="129">
        <v>1</v>
      </c>
      <c r="G550" s="138">
        <v>1925</v>
      </c>
      <c r="H550" s="138">
        <v>1936</v>
      </c>
      <c r="I550" s="140">
        <f>(G550-H550)/G550</f>
        <v>-5.7142857142857143E-3</v>
      </c>
      <c r="J550" s="5" t="s">
        <v>321</v>
      </c>
      <c r="K550" s="5" t="s">
        <v>328</v>
      </c>
      <c r="L550" s="5"/>
      <c r="M550" s="5" t="s">
        <v>1440</v>
      </c>
      <c r="N550" s="36" t="s">
        <v>1441</v>
      </c>
      <c r="O550" t="s">
        <v>1442</v>
      </c>
      <c r="P550"/>
    </row>
    <row r="551" spans="1:16" ht="15" hidden="1" customHeight="1">
      <c r="A551" s="2" t="s">
        <v>239</v>
      </c>
      <c r="B551" s="26" t="s">
        <v>896</v>
      </c>
      <c r="C551" s="2" t="s">
        <v>1443</v>
      </c>
      <c r="D551" s="2" t="s">
        <v>1444</v>
      </c>
      <c r="I551" s="138"/>
      <c r="J551" s="5" t="s">
        <v>323</v>
      </c>
      <c r="K551" s="5" t="s">
        <v>330</v>
      </c>
      <c r="L551" s="5"/>
      <c r="N551" s="11" t="s">
        <v>964</v>
      </c>
      <c r="O551"/>
      <c r="P551"/>
    </row>
    <row r="552" spans="1:16" ht="15" hidden="1" customHeight="1">
      <c r="A552" s="2" t="s">
        <v>239</v>
      </c>
      <c r="B552" s="26" t="s">
        <v>896</v>
      </c>
      <c r="C552" s="2" t="s">
        <v>1445</v>
      </c>
      <c r="D552" s="2" t="s">
        <v>394</v>
      </c>
      <c r="G552" s="138">
        <v>136</v>
      </c>
      <c r="H552" s="138">
        <v>136</v>
      </c>
      <c r="I552" s="138"/>
      <c r="J552" s="5" t="s">
        <v>320</v>
      </c>
      <c r="K552" s="5" t="s">
        <v>328</v>
      </c>
      <c r="L552" s="5"/>
      <c r="M552" s="5" t="s">
        <v>385</v>
      </c>
      <c r="N552" s="11" t="s">
        <v>1446</v>
      </c>
      <c r="O552"/>
      <c r="P552"/>
    </row>
    <row r="553" spans="1:16" ht="15" hidden="1" customHeight="1">
      <c r="A553" s="2" t="s">
        <v>239</v>
      </c>
      <c r="B553" s="26" t="s">
        <v>896</v>
      </c>
      <c r="C553" s="2" t="s">
        <v>1447</v>
      </c>
      <c r="D553" s="2" t="s">
        <v>431</v>
      </c>
      <c r="I553" s="138"/>
      <c r="J553" s="5" t="s">
        <v>323</v>
      </c>
      <c r="K553" s="5" t="s">
        <v>329</v>
      </c>
      <c r="L553" s="5"/>
      <c r="M553" s="5" t="s">
        <v>817</v>
      </c>
      <c r="N553" s="11" t="s">
        <v>964</v>
      </c>
      <c r="O553"/>
      <c r="P553"/>
    </row>
    <row r="554" spans="1:16" ht="15" hidden="1" customHeight="1">
      <c r="A554" s="2" t="s">
        <v>239</v>
      </c>
      <c r="B554" s="26" t="s">
        <v>896</v>
      </c>
      <c r="C554" s="2" t="s">
        <v>1448</v>
      </c>
      <c r="D554" s="2" t="s">
        <v>1449</v>
      </c>
      <c r="I554" s="138"/>
      <c r="J554" s="5" t="s">
        <v>323</v>
      </c>
      <c r="K554" s="5" t="s">
        <v>330</v>
      </c>
      <c r="L554" s="5"/>
      <c r="M554" s="5" t="s">
        <v>385</v>
      </c>
      <c r="O554"/>
      <c r="P554"/>
    </row>
    <row r="555" spans="1:16" ht="15" hidden="1" customHeight="1">
      <c r="A555" s="2" t="s">
        <v>239</v>
      </c>
      <c r="B555" s="26" t="s">
        <v>896</v>
      </c>
      <c r="C555" s="2" t="s">
        <v>1450</v>
      </c>
      <c r="D555" s="2" t="s">
        <v>28</v>
      </c>
      <c r="I555" s="138"/>
      <c r="J555" s="5" t="s">
        <v>323</v>
      </c>
      <c r="K555" s="5" t="s">
        <v>329</v>
      </c>
      <c r="L555" s="5"/>
      <c r="O555"/>
      <c r="P555"/>
    </row>
    <row r="556" spans="1:16" ht="15" hidden="1" customHeight="1">
      <c r="A556" s="2" t="s">
        <v>239</v>
      </c>
      <c r="B556" s="26" t="s">
        <v>331</v>
      </c>
      <c r="C556" s="2" t="s">
        <v>1451</v>
      </c>
      <c r="D556" s="2" t="s">
        <v>383</v>
      </c>
      <c r="F556" s="129">
        <v>1</v>
      </c>
      <c r="G556" s="138">
        <v>1179</v>
      </c>
      <c r="H556" s="138">
        <v>1179</v>
      </c>
      <c r="I556" s="140">
        <f>(G556-H556)/G556</f>
        <v>0</v>
      </c>
      <c r="J556" s="5" t="s">
        <v>320</v>
      </c>
      <c r="K556" s="5" t="s">
        <v>328</v>
      </c>
      <c r="L556" s="5"/>
      <c r="M556" s="5" t="s">
        <v>385</v>
      </c>
      <c r="N556" s="36" t="s">
        <v>1452</v>
      </c>
      <c r="O556" t="s">
        <v>387</v>
      </c>
      <c r="P556"/>
    </row>
    <row r="557" spans="1:16" ht="25.5" hidden="1" customHeight="1">
      <c r="A557" s="2" t="s">
        <v>239</v>
      </c>
      <c r="B557" s="26" t="s">
        <v>331</v>
      </c>
      <c r="C557" s="2" t="s">
        <v>1453</v>
      </c>
      <c r="D557" s="2" t="s">
        <v>23</v>
      </c>
      <c r="E557" s="21" t="s">
        <v>432</v>
      </c>
      <c r="F557" s="129">
        <v>1</v>
      </c>
      <c r="G557" s="138">
        <v>561</v>
      </c>
      <c r="H557" s="138">
        <v>561</v>
      </c>
      <c r="I557" s="140">
        <f>(G557-H557)/G557</f>
        <v>0</v>
      </c>
      <c r="J557" s="5" t="s">
        <v>321</v>
      </c>
      <c r="K557" s="5" t="s">
        <v>328</v>
      </c>
      <c r="L557" s="5"/>
      <c r="M557" s="5" t="s">
        <v>1454</v>
      </c>
      <c r="N557" s="11" t="s">
        <v>1455</v>
      </c>
      <c r="O557" t="s">
        <v>1456</v>
      </c>
      <c r="P557"/>
    </row>
    <row r="558" spans="1:16" ht="15" hidden="1" customHeight="1">
      <c r="A558" s="2" t="s">
        <v>239</v>
      </c>
      <c r="B558" s="26" t="s">
        <v>896</v>
      </c>
      <c r="C558" s="2" t="s">
        <v>1457</v>
      </c>
      <c r="D558" s="2" t="s">
        <v>939</v>
      </c>
      <c r="H558" s="138">
        <v>104</v>
      </c>
      <c r="I558" s="138"/>
      <c r="J558" s="5" t="s">
        <v>323</v>
      </c>
      <c r="K558" s="5" t="s">
        <v>328</v>
      </c>
      <c r="L558" s="5"/>
      <c r="M558" s="5" t="s">
        <v>1365</v>
      </c>
      <c r="O558"/>
      <c r="P558"/>
    </row>
    <row r="559" spans="1:16" ht="25.5" hidden="1" customHeight="1">
      <c r="A559" s="2" t="s">
        <v>239</v>
      </c>
      <c r="B559" s="26" t="s">
        <v>896</v>
      </c>
      <c r="C559" s="2" t="s">
        <v>1458</v>
      </c>
      <c r="D559" s="2" t="s">
        <v>460</v>
      </c>
      <c r="I559" s="138"/>
      <c r="J559" s="5" t="s">
        <v>323</v>
      </c>
      <c r="K559" s="5" t="s">
        <v>329</v>
      </c>
      <c r="L559" s="5"/>
      <c r="M559" s="5" t="s">
        <v>1459</v>
      </c>
      <c r="O559"/>
      <c r="P559"/>
    </row>
    <row r="560" spans="1:16" ht="25.5" hidden="1" customHeight="1">
      <c r="A560" s="2" t="s">
        <v>239</v>
      </c>
      <c r="B560" s="26" t="s">
        <v>896</v>
      </c>
      <c r="C560" s="2" t="s">
        <v>1460</v>
      </c>
      <c r="D560" s="2" t="s">
        <v>477</v>
      </c>
      <c r="F560" s="129">
        <v>1</v>
      </c>
      <c r="H560" s="138">
        <v>534</v>
      </c>
      <c r="I560" s="138"/>
      <c r="J560" s="5" t="s">
        <v>323</v>
      </c>
      <c r="K560" s="5" t="s">
        <v>328</v>
      </c>
      <c r="L560" s="5"/>
      <c r="M560" s="5" t="s">
        <v>478</v>
      </c>
      <c r="N560" s="36" t="s">
        <v>1461</v>
      </c>
      <c r="O560" t="s">
        <v>479</v>
      </c>
      <c r="P560"/>
    </row>
    <row r="561" spans="1:16" ht="25.5" hidden="1" customHeight="1">
      <c r="A561" s="2" t="s">
        <v>239</v>
      </c>
      <c r="B561" s="26" t="s">
        <v>896</v>
      </c>
      <c r="C561" s="2" t="s">
        <v>1462</v>
      </c>
      <c r="D561" s="2" t="s">
        <v>952</v>
      </c>
      <c r="I561" s="138"/>
      <c r="J561" s="5" t="s">
        <v>323</v>
      </c>
      <c r="K561" s="5" t="s">
        <v>328</v>
      </c>
      <c r="L561" s="5"/>
      <c r="M561" s="5" t="s">
        <v>546</v>
      </c>
      <c r="O561"/>
      <c r="P561"/>
    </row>
    <row r="562" spans="1:16" ht="15" hidden="1" customHeight="1">
      <c r="A562" s="2" t="s">
        <v>239</v>
      </c>
      <c r="B562" s="26" t="s">
        <v>896</v>
      </c>
      <c r="C562" s="2" t="s">
        <v>1463</v>
      </c>
      <c r="D562" s="2" t="s">
        <v>489</v>
      </c>
      <c r="F562" s="129">
        <v>1</v>
      </c>
      <c r="H562" s="138">
        <v>266</v>
      </c>
      <c r="I562" s="138"/>
      <c r="J562" s="5" t="s">
        <v>323</v>
      </c>
      <c r="K562" s="5" t="s">
        <v>328</v>
      </c>
      <c r="L562" s="5"/>
      <c r="M562" s="5" t="s">
        <v>1464</v>
      </c>
      <c r="N562" s="36" t="s">
        <v>1465</v>
      </c>
      <c r="O562" t="s">
        <v>479</v>
      </c>
      <c r="P562"/>
    </row>
    <row r="563" spans="1:16" ht="25.5" hidden="1" customHeight="1">
      <c r="A563" s="2" t="s">
        <v>239</v>
      </c>
      <c r="B563" s="26" t="s">
        <v>896</v>
      </c>
      <c r="C563" s="2" t="s">
        <v>1466</v>
      </c>
      <c r="D563" s="2" t="s">
        <v>956</v>
      </c>
      <c r="H563" s="138">
        <v>237</v>
      </c>
      <c r="I563" s="138"/>
      <c r="J563" s="5" t="s">
        <v>323</v>
      </c>
      <c r="K563" s="5" t="s">
        <v>328</v>
      </c>
      <c r="L563" s="5"/>
      <c r="M563" s="5" t="s">
        <v>546</v>
      </c>
      <c r="O563"/>
      <c r="P563"/>
    </row>
    <row r="564" spans="1:16" ht="15" hidden="1" customHeight="1">
      <c r="A564" s="2" t="s">
        <v>239</v>
      </c>
      <c r="B564" s="26" t="s">
        <v>896</v>
      </c>
      <c r="C564" s="2" t="s">
        <v>1467</v>
      </c>
      <c r="D564" s="2" t="s">
        <v>496</v>
      </c>
      <c r="F564" s="129">
        <v>1</v>
      </c>
      <c r="H564" s="138">
        <v>421</v>
      </c>
      <c r="I564" s="138"/>
      <c r="J564" s="5" t="s">
        <v>323</v>
      </c>
      <c r="K564" s="5" t="s">
        <v>328</v>
      </c>
      <c r="L564" s="5"/>
      <c r="M564" s="5" t="s">
        <v>478</v>
      </c>
      <c r="N564" s="36" t="s">
        <v>1468</v>
      </c>
      <c r="O564" t="s">
        <v>479</v>
      </c>
      <c r="P564"/>
    </row>
    <row r="565" spans="1:16" ht="15" hidden="1" customHeight="1">
      <c r="A565" s="2" t="s">
        <v>239</v>
      </c>
      <c r="B565" s="26" t="s">
        <v>896</v>
      </c>
      <c r="C565" s="2" t="s">
        <v>1469</v>
      </c>
      <c r="D565" s="2" t="s">
        <v>1398</v>
      </c>
      <c r="I565" s="138"/>
      <c r="J565" s="5" t="s">
        <v>323</v>
      </c>
      <c r="K565" s="5" t="s">
        <v>329</v>
      </c>
      <c r="L565" s="5"/>
      <c r="O565"/>
      <c r="P565"/>
    </row>
    <row r="566" spans="1:16" ht="30" hidden="1" customHeight="1">
      <c r="A566" s="2" t="s">
        <v>239</v>
      </c>
      <c r="B566" s="26" t="s">
        <v>896</v>
      </c>
      <c r="C566" s="2" t="s">
        <v>1470</v>
      </c>
      <c r="D566" s="2" t="s">
        <v>504</v>
      </c>
      <c r="H566" s="138">
        <v>17</v>
      </c>
      <c r="I566" s="138"/>
      <c r="J566" s="5" t="s">
        <v>323</v>
      </c>
      <c r="K566" s="5" t="s">
        <v>328</v>
      </c>
      <c r="L566" s="5"/>
      <c r="M566" s="5" t="s">
        <v>478</v>
      </c>
      <c r="N566" s="11" t="s">
        <v>1471</v>
      </c>
      <c r="O566"/>
      <c r="P566"/>
    </row>
    <row r="567" spans="1:16" ht="15" hidden="1" customHeight="1">
      <c r="A567" s="2" t="s">
        <v>239</v>
      </c>
      <c r="B567" s="26" t="s">
        <v>896</v>
      </c>
      <c r="C567" s="2" t="s">
        <v>1472</v>
      </c>
      <c r="D567" s="2" t="s">
        <v>515</v>
      </c>
      <c r="I567" s="138"/>
      <c r="J567" s="5" t="s">
        <v>323</v>
      </c>
      <c r="K567" s="5" t="s">
        <v>329</v>
      </c>
      <c r="L567" s="5"/>
      <c r="M567" s="5" t="s">
        <v>1459</v>
      </c>
      <c r="O567"/>
      <c r="P567"/>
    </row>
    <row r="568" spans="1:16" ht="15" hidden="1" customHeight="1">
      <c r="A568" s="2" t="s">
        <v>239</v>
      </c>
      <c r="B568" s="26" t="s">
        <v>896</v>
      </c>
      <c r="C568" s="2" t="s">
        <v>1473</v>
      </c>
      <c r="D568" s="2" t="s">
        <v>518</v>
      </c>
      <c r="I568" s="138"/>
      <c r="J568" s="5" t="s">
        <v>323</v>
      </c>
      <c r="K568" s="5" t="s">
        <v>329</v>
      </c>
      <c r="L568" s="5"/>
      <c r="M568" s="5" t="s">
        <v>1459</v>
      </c>
      <c r="O568"/>
      <c r="P568"/>
    </row>
    <row r="569" spans="1:16" ht="25.5" hidden="1" customHeight="1">
      <c r="A569" s="2" t="s">
        <v>239</v>
      </c>
      <c r="B569" s="26" t="s">
        <v>896</v>
      </c>
      <c r="C569" s="2" t="s">
        <v>1474</v>
      </c>
      <c r="D569" s="2" t="s">
        <v>520</v>
      </c>
      <c r="I569" s="138"/>
      <c r="J569" s="5" t="s">
        <v>323</v>
      </c>
      <c r="K569" s="5" t="s">
        <v>329</v>
      </c>
      <c r="L569" s="5"/>
      <c r="M569" s="5" t="s">
        <v>1459</v>
      </c>
      <c r="O569"/>
      <c r="P569"/>
    </row>
    <row r="570" spans="1:16" ht="15" hidden="1" customHeight="1">
      <c r="A570" s="2" t="s">
        <v>239</v>
      </c>
      <c r="B570" s="26" t="s">
        <v>896</v>
      </c>
      <c r="C570" s="2" t="s">
        <v>1475</v>
      </c>
      <c r="D570" s="2" t="s">
        <v>522</v>
      </c>
      <c r="H570" s="138">
        <v>142</v>
      </c>
      <c r="I570" s="138"/>
      <c r="J570" s="5" t="s">
        <v>323</v>
      </c>
      <c r="K570" s="5" t="s">
        <v>328</v>
      </c>
      <c r="L570" s="5"/>
      <c r="M570" s="5" t="s">
        <v>546</v>
      </c>
      <c r="N570" s="15" t="s">
        <v>1476</v>
      </c>
      <c r="O570"/>
      <c r="P570"/>
    </row>
    <row r="571" spans="1:16" ht="15" hidden="1" customHeight="1">
      <c r="A571" s="2" t="s">
        <v>239</v>
      </c>
      <c r="B571" s="26" t="s">
        <v>896</v>
      </c>
      <c r="C571" s="2" t="s">
        <v>1477</v>
      </c>
      <c r="D571" s="2" t="s">
        <v>524</v>
      </c>
      <c r="I571" s="138"/>
      <c r="J571" s="5" t="s">
        <v>323</v>
      </c>
      <c r="K571" s="5" t="s">
        <v>329</v>
      </c>
      <c r="L571" s="5"/>
      <c r="M571" s="5" t="s">
        <v>1459</v>
      </c>
      <c r="O571"/>
      <c r="P571"/>
    </row>
    <row r="572" spans="1:16" ht="15" hidden="1" customHeight="1">
      <c r="A572" s="2" t="s">
        <v>239</v>
      </c>
      <c r="B572" s="26" t="s">
        <v>896</v>
      </c>
      <c r="C572" s="2" t="s">
        <v>1478</v>
      </c>
      <c r="D572" s="2" t="s">
        <v>528</v>
      </c>
      <c r="I572" s="138"/>
      <c r="J572" s="5" t="s">
        <v>323</v>
      </c>
      <c r="K572" s="5" t="s">
        <v>329</v>
      </c>
      <c r="L572" s="5"/>
      <c r="M572" s="5" t="s">
        <v>1459</v>
      </c>
      <c r="O572"/>
      <c r="P572"/>
    </row>
    <row r="573" spans="1:16" ht="15" hidden="1" customHeight="1">
      <c r="A573" s="2" t="s">
        <v>239</v>
      </c>
      <c r="B573" s="26" t="s">
        <v>896</v>
      </c>
      <c r="C573" s="2" t="s">
        <v>1479</v>
      </c>
      <c r="D573" s="2" t="s">
        <v>1480</v>
      </c>
      <c r="I573" s="138"/>
      <c r="J573" s="5" t="s">
        <v>323</v>
      </c>
      <c r="K573" s="5" t="s">
        <v>329</v>
      </c>
      <c r="L573" s="5"/>
      <c r="M573" s="5" t="s">
        <v>1459</v>
      </c>
      <c r="O573"/>
      <c r="P573"/>
    </row>
    <row r="574" spans="1:16" ht="15" hidden="1" customHeight="1">
      <c r="A574" s="2" t="s">
        <v>239</v>
      </c>
      <c r="B574" s="26" t="s">
        <v>896</v>
      </c>
      <c r="C574" s="2" t="s">
        <v>1481</v>
      </c>
      <c r="D574" s="2" t="s">
        <v>34</v>
      </c>
      <c r="H574" s="138">
        <v>491</v>
      </c>
      <c r="I574" s="138"/>
      <c r="J574" s="5" t="s">
        <v>323</v>
      </c>
      <c r="K574" s="5" t="s">
        <v>328</v>
      </c>
      <c r="L574" s="5"/>
      <c r="M574" s="5" t="s">
        <v>478</v>
      </c>
      <c r="O574"/>
      <c r="P574"/>
    </row>
    <row r="575" spans="1:16" ht="15" hidden="1" customHeight="1">
      <c r="A575" s="2" t="s">
        <v>239</v>
      </c>
      <c r="B575" s="26" t="s">
        <v>896</v>
      </c>
      <c r="C575" s="2" t="s">
        <v>1482</v>
      </c>
      <c r="D575" s="2" t="s">
        <v>35</v>
      </c>
      <c r="H575" s="138">
        <v>266</v>
      </c>
      <c r="I575" s="138"/>
      <c r="J575" s="5" t="s">
        <v>323</v>
      </c>
      <c r="K575" s="5" t="s">
        <v>328</v>
      </c>
      <c r="L575" s="5"/>
      <c r="M575" s="5" t="s">
        <v>490</v>
      </c>
      <c r="O575"/>
      <c r="P575"/>
    </row>
    <row r="576" spans="1:16" ht="15" hidden="1" customHeight="1">
      <c r="A576" s="2" t="s">
        <v>239</v>
      </c>
      <c r="B576" s="26" t="s">
        <v>896</v>
      </c>
      <c r="C576" s="2" t="s">
        <v>1483</v>
      </c>
      <c r="D576" s="2" t="s">
        <v>545</v>
      </c>
      <c r="H576" s="138">
        <v>474</v>
      </c>
      <c r="I576" s="138"/>
      <c r="J576" s="5" t="s">
        <v>323</v>
      </c>
      <c r="K576" s="5" t="s">
        <v>328</v>
      </c>
      <c r="L576" s="5"/>
      <c r="M576" s="5" t="s">
        <v>546</v>
      </c>
      <c r="O576"/>
      <c r="P576"/>
    </row>
    <row r="577" spans="1:16" ht="15" hidden="1" customHeight="1">
      <c r="A577" s="2" t="s">
        <v>239</v>
      </c>
      <c r="B577" s="26" t="s">
        <v>896</v>
      </c>
      <c r="C577" s="2" t="s">
        <v>1484</v>
      </c>
      <c r="D577" s="2" t="s">
        <v>548</v>
      </c>
      <c r="F577" s="129">
        <v>1</v>
      </c>
      <c r="H577" s="138">
        <v>141</v>
      </c>
      <c r="I577" s="138"/>
      <c r="J577" s="5" t="s">
        <v>323</v>
      </c>
      <c r="K577" s="5" t="s">
        <v>328</v>
      </c>
      <c r="L577" s="5"/>
      <c r="M577" s="5" t="s">
        <v>546</v>
      </c>
      <c r="N577" s="36" t="s">
        <v>1465</v>
      </c>
      <c r="O577" t="s">
        <v>479</v>
      </c>
      <c r="P577"/>
    </row>
    <row r="578" spans="1:16" ht="15" hidden="1" customHeight="1">
      <c r="A578" s="2" t="s">
        <v>239</v>
      </c>
      <c r="B578" s="26" t="s">
        <v>896</v>
      </c>
      <c r="C578" s="2" t="s">
        <v>1485</v>
      </c>
      <c r="D578" s="2" t="s">
        <v>36</v>
      </c>
      <c r="H578" s="138">
        <v>203</v>
      </c>
      <c r="I578" s="138"/>
      <c r="J578" s="5" t="s">
        <v>323</v>
      </c>
      <c r="K578" s="5" t="s">
        <v>328</v>
      </c>
      <c r="L578" s="5"/>
      <c r="M578" s="5" t="s">
        <v>551</v>
      </c>
      <c r="N578" s="11" t="s">
        <v>1486</v>
      </c>
      <c r="O578"/>
      <c r="P578"/>
    </row>
    <row r="579" spans="1:16" ht="15" hidden="1" customHeight="1">
      <c r="A579" s="2" t="s">
        <v>239</v>
      </c>
      <c r="B579" s="26" t="s">
        <v>896</v>
      </c>
      <c r="C579" s="2" t="s">
        <v>1487</v>
      </c>
      <c r="D579" s="2" t="s">
        <v>554</v>
      </c>
      <c r="H579" s="138">
        <v>27</v>
      </c>
      <c r="I579" s="138"/>
      <c r="J579" s="5" t="s">
        <v>323</v>
      </c>
      <c r="K579" s="5" t="s">
        <v>328</v>
      </c>
      <c r="L579" s="5"/>
      <c r="M579" s="5" t="s">
        <v>478</v>
      </c>
      <c r="N579" s="11" t="s">
        <v>1488</v>
      </c>
      <c r="O579"/>
      <c r="P579"/>
    </row>
    <row r="580" spans="1:16" ht="15" hidden="1" customHeight="1">
      <c r="A580" s="2" t="s">
        <v>239</v>
      </c>
      <c r="B580" s="26" t="s">
        <v>896</v>
      </c>
      <c r="C580" s="2" t="s">
        <v>1489</v>
      </c>
      <c r="D580" s="2" t="s">
        <v>556</v>
      </c>
      <c r="H580" s="138">
        <v>203</v>
      </c>
      <c r="I580" s="138"/>
      <c r="J580" s="5" t="s">
        <v>323</v>
      </c>
      <c r="K580" s="5" t="s">
        <v>328</v>
      </c>
      <c r="L580" s="5"/>
      <c r="M580" s="5" t="s">
        <v>551</v>
      </c>
      <c r="O580"/>
      <c r="P580"/>
    </row>
    <row r="581" spans="1:16" ht="15" hidden="1" customHeight="1">
      <c r="A581" s="2" t="s">
        <v>239</v>
      </c>
      <c r="B581" s="26" t="s">
        <v>896</v>
      </c>
      <c r="C581" s="2" t="s">
        <v>1490</v>
      </c>
      <c r="D581" s="2" t="s">
        <v>559</v>
      </c>
      <c r="H581" s="138">
        <v>198</v>
      </c>
      <c r="I581" s="138"/>
      <c r="J581" s="5" t="s">
        <v>323</v>
      </c>
      <c r="K581" s="5" t="s">
        <v>328</v>
      </c>
      <c r="L581" s="5"/>
      <c r="M581" s="5" t="s">
        <v>478</v>
      </c>
      <c r="O581"/>
      <c r="P581"/>
    </row>
    <row r="582" spans="1:16" ht="15" hidden="1" customHeight="1">
      <c r="A582" s="2" t="s">
        <v>239</v>
      </c>
      <c r="B582" s="26" t="s">
        <v>896</v>
      </c>
      <c r="C582" s="2" t="s">
        <v>1491</v>
      </c>
      <c r="D582" s="2" t="s">
        <v>56</v>
      </c>
      <c r="H582" s="138">
        <v>527</v>
      </c>
      <c r="I582" s="138"/>
      <c r="J582" s="5" t="s">
        <v>323</v>
      </c>
      <c r="K582" s="5" t="s">
        <v>328</v>
      </c>
      <c r="L582" s="5"/>
      <c r="M582" s="5" t="s">
        <v>478</v>
      </c>
      <c r="O582"/>
      <c r="P582"/>
    </row>
    <row r="583" spans="1:16" ht="15" hidden="1" customHeight="1">
      <c r="A583" s="2" t="s">
        <v>239</v>
      </c>
      <c r="B583" s="26" t="s">
        <v>896</v>
      </c>
      <c r="C583" s="2" t="s">
        <v>1492</v>
      </c>
      <c r="D583" s="2" t="s">
        <v>562</v>
      </c>
      <c r="H583" s="138">
        <v>527</v>
      </c>
      <c r="I583" s="138"/>
      <c r="J583" s="5" t="s">
        <v>323</v>
      </c>
      <c r="K583" s="5" t="s">
        <v>328</v>
      </c>
      <c r="L583" s="5"/>
      <c r="M583" s="5" t="s">
        <v>1218</v>
      </c>
      <c r="O583"/>
      <c r="P583"/>
    </row>
    <row r="584" spans="1:16" ht="15" hidden="1" customHeight="1">
      <c r="A584" s="2" t="s">
        <v>239</v>
      </c>
      <c r="B584" s="26" t="s">
        <v>896</v>
      </c>
      <c r="C584" s="2" t="s">
        <v>1493</v>
      </c>
      <c r="D584" s="2" t="s">
        <v>565</v>
      </c>
      <c r="I584" s="138"/>
      <c r="J584" s="5" t="s">
        <v>323</v>
      </c>
      <c r="K584" s="5" t="s">
        <v>329</v>
      </c>
      <c r="L584" s="5"/>
      <c r="M584" s="5" t="s">
        <v>385</v>
      </c>
      <c r="O584"/>
      <c r="P584"/>
    </row>
    <row r="585" spans="1:16" ht="15" hidden="1" customHeight="1">
      <c r="A585" s="2" t="s">
        <v>239</v>
      </c>
      <c r="B585" s="26" t="s">
        <v>896</v>
      </c>
      <c r="C585" s="2" t="s">
        <v>1494</v>
      </c>
      <c r="D585" s="2" t="s">
        <v>59</v>
      </c>
      <c r="H585" s="138">
        <v>17</v>
      </c>
      <c r="I585" s="138"/>
      <c r="J585" s="5" t="s">
        <v>323</v>
      </c>
      <c r="K585" s="5" t="s">
        <v>328</v>
      </c>
      <c r="L585" s="5"/>
      <c r="M585" s="5" t="s">
        <v>478</v>
      </c>
      <c r="O585"/>
      <c r="P585"/>
    </row>
    <row r="586" spans="1:16" ht="15" hidden="1" customHeight="1">
      <c r="A586" s="2" t="s">
        <v>239</v>
      </c>
      <c r="B586" s="26" t="s">
        <v>333</v>
      </c>
      <c r="C586" s="2" t="s">
        <v>1495</v>
      </c>
      <c r="D586" s="2" t="s">
        <v>1175</v>
      </c>
      <c r="I586" s="138"/>
      <c r="J586" s="5" t="s">
        <v>323</v>
      </c>
      <c r="K586" s="5" t="s">
        <v>330</v>
      </c>
      <c r="L586" s="5"/>
      <c r="M586" s="5" t="s">
        <v>1496</v>
      </c>
      <c r="O586"/>
      <c r="P586"/>
    </row>
    <row r="587" spans="1:16" ht="15" hidden="1" customHeight="1">
      <c r="A587" s="2" t="s">
        <v>239</v>
      </c>
      <c r="B587" s="26" t="s">
        <v>333</v>
      </c>
      <c r="C587" s="2" t="s">
        <v>1497</v>
      </c>
      <c r="D587" s="2" t="s">
        <v>991</v>
      </c>
      <c r="I587" s="138"/>
      <c r="J587" s="5" t="s">
        <v>323</v>
      </c>
      <c r="K587" s="5" t="s">
        <v>329</v>
      </c>
      <c r="L587" s="5"/>
      <c r="M587" s="5" t="s">
        <v>1496</v>
      </c>
      <c r="O587"/>
      <c r="P587"/>
    </row>
    <row r="588" spans="1:16" ht="15" hidden="1" customHeight="1">
      <c r="A588" s="2" t="s">
        <v>239</v>
      </c>
      <c r="B588" s="26" t="s">
        <v>333</v>
      </c>
      <c r="C588" s="2" t="s">
        <v>1498</v>
      </c>
      <c r="D588" s="2" t="s">
        <v>1211</v>
      </c>
      <c r="I588" s="138"/>
      <c r="J588" s="5" t="s">
        <v>323</v>
      </c>
      <c r="K588" s="5" t="s">
        <v>330</v>
      </c>
      <c r="L588" s="5"/>
      <c r="O588"/>
      <c r="P588"/>
    </row>
    <row r="589" spans="1:16" ht="15" hidden="1" customHeight="1">
      <c r="A589" s="2" t="s">
        <v>239</v>
      </c>
      <c r="B589" s="26" t="s">
        <v>333</v>
      </c>
      <c r="C589" s="2" t="s">
        <v>1499</v>
      </c>
      <c r="D589" s="2" t="s">
        <v>1213</v>
      </c>
      <c r="F589" s="129">
        <v>1</v>
      </c>
      <c r="H589" s="138">
        <v>1464</v>
      </c>
      <c r="I589" s="138"/>
      <c r="J589" s="5" t="s">
        <v>323</v>
      </c>
      <c r="K589" s="5" t="s">
        <v>328</v>
      </c>
      <c r="L589" s="5"/>
      <c r="M589" s="5" t="s">
        <v>385</v>
      </c>
      <c r="O589" t="s">
        <v>479</v>
      </c>
      <c r="P589"/>
    </row>
    <row r="590" spans="1:16" ht="15" hidden="1" customHeight="1">
      <c r="A590" s="2" t="s">
        <v>239</v>
      </c>
      <c r="B590" s="26" t="s">
        <v>333</v>
      </c>
      <c r="C590" s="2" t="s">
        <v>1500</v>
      </c>
      <c r="D590" s="2" t="s">
        <v>394</v>
      </c>
      <c r="H590" s="138">
        <v>454</v>
      </c>
      <c r="I590" s="138"/>
      <c r="J590" s="5" t="s">
        <v>323</v>
      </c>
      <c r="K590" s="5" t="s">
        <v>328</v>
      </c>
      <c r="L590" s="5"/>
      <c r="M590" s="5" t="s">
        <v>385</v>
      </c>
      <c r="O590"/>
      <c r="P590"/>
    </row>
    <row r="591" spans="1:16" ht="15" hidden="1" customHeight="1">
      <c r="A591" s="2" t="s">
        <v>239</v>
      </c>
      <c r="B591" s="26" t="s">
        <v>333</v>
      </c>
      <c r="C591" s="2" t="s">
        <v>1501</v>
      </c>
      <c r="D591" s="2" t="s">
        <v>998</v>
      </c>
      <c r="I591" s="138"/>
      <c r="J591" s="5" t="s">
        <v>323</v>
      </c>
      <c r="K591" s="5" t="s">
        <v>329</v>
      </c>
      <c r="L591" s="5"/>
      <c r="O591"/>
      <c r="P591"/>
    </row>
    <row r="592" spans="1:16" ht="25.5" hidden="1" customHeight="1">
      <c r="A592" s="2" t="s">
        <v>239</v>
      </c>
      <c r="B592" s="26" t="s">
        <v>333</v>
      </c>
      <c r="C592" s="2" t="s">
        <v>1502</v>
      </c>
      <c r="D592" s="2" t="s">
        <v>1001</v>
      </c>
      <c r="I592" s="138"/>
      <c r="J592" s="5" t="s">
        <v>323</v>
      </c>
      <c r="K592" s="5" t="s">
        <v>330</v>
      </c>
      <c r="L592" s="5"/>
      <c r="O592"/>
      <c r="P592"/>
    </row>
    <row r="593" spans="1:16" ht="25.5" hidden="1" customHeight="1">
      <c r="A593" s="2" t="s">
        <v>239</v>
      </c>
      <c r="B593" s="26" t="s">
        <v>333</v>
      </c>
      <c r="C593" s="2" t="s">
        <v>1503</v>
      </c>
      <c r="D593" s="2" t="s">
        <v>1003</v>
      </c>
      <c r="H593" s="138">
        <f>H589-H594</f>
        <v>1079</v>
      </c>
      <c r="I593" s="138"/>
      <c r="J593" s="5" t="s">
        <v>323</v>
      </c>
      <c r="K593" s="5" t="s">
        <v>328</v>
      </c>
      <c r="L593" s="5"/>
      <c r="M593" s="5" t="s">
        <v>1218</v>
      </c>
      <c r="O593"/>
      <c r="P593"/>
    </row>
    <row r="594" spans="1:16" ht="15" hidden="1" customHeight="1">
      <c r="A594" s="2" t="s">
        <v>239</v>
      </c>
      <c r="B594" s="26" t="s">
        <v>333</v>
      </c>
      <c r="C594" s="2" t="s">
        <v>1504</v>
      </c>
      <c r="D594" s="2" t="s">
        <v>115</v>
      </c>
      <c r="F594" s="129">
        <v>1</v>
      </c>
      <c r="H594" s="138">
        <v>385</v>
      </c>
      <c r="I594" s="138"/>
      <c r="J594" s="5" t="s">
        <v>323</v>
      </c>
      <c r="K594" s="5" t="s">
        <v>328</v>
      </c>
      <c r="L594" s="5"/>
      <c r="O594" t="s">
        <v>479</v>
      </c>
      <c r="P594"/>
    </row>
    <row r="595" spans="1:16" ht="15" hidden="1" customHeight="1">
      <c r="A595" s="2" t="s">
        <v>239</v>
      </c>
      <c r="B595" s="26" t="s">
        <v>333</v>
      </c>
      <c r="C595" s="2" t="s">
        <v>1505</v>
      </c>
      <c r="D595" s="2" t="s">
        <v>489</v>
      </c>
      <c r="H595" s="138">
        <v>14</v>
      </c>
      <c r="I595" s="138"/>
      <c r="J595" s="5" t="s">
        <v>323</v>
      </c>
      <c r="K595" s="5" t="s">
        <v>328</v>
      </c>
      <c r="L595" s="5"/>
      <c r="O595"/>
      <c r="P595"/>
    </row>
    <row r="596" spans="1:16" ht="25.5" hidden="1" customHeight="1">
      <c r="A596" s="2" t="s">
        <v>239</v>
      </c>
      <c r="B596" s="26" t="s">
        <v>333</v>
      </c>
      <c r="C596" s="2" t="s">
        <v>1506</v>
      </c>
      <c r="D596" s="2" t="s">
        <v>481</v>
      </c>
      <c r="H596" s="138">
        <v>0</v>
      </c>
      <c r="I596" s="138"/>
      <c r="J596" s="5" t="s">
        <v>323</v>
      </c>
      <c r="K596" s="5" t="s">
        <v>328</v>
      </c>
      <c r="L596" s="5"/>
      <c r="O596"/>
      <c r="P596"/>
    </row>
    <row r="597" spans="1:16" ht="15" hidden="1" customHeight="1">
      <c r="A597" s="2" t="s">
        <v>239</v>
      </c>
      <c r="B597" s="26" t="s">
        <v>333</v>
      </c>
      <c r="C597" s="2" t="s">
        <v>1507</v>
      </c>
      <c r="D597" s="2" t="s">
        <v>1010</v>
      </c>
      <c r="I597" s="138"/>
      <c r="J597" s="5" t="s">
        <v>323</v>
      </c>
      <c r="K597" s="5" t="s">
        <v>329</v>
      </c>
      <c r="L597" s="5"/>
      <c r="O597"/>
      <c r="P597"/>
    </row>
    <row r="598" spans="1:16" ht="15" customHeight="1">
      <c r="A598" s="2" t="s">
        <v>239</v>
      </c>
      <c r="B598" s="26" t="s">
        <v>333</v>
      </c>
      <c r="C598" s="2" t="s">
        <v>1508</v>
      </c>
      <c r="D598" s="2" t="s">
        <v>452</v>
      </c>
      <c r="F598" s="129">
        <v>1</v>
      </c>
      <c r="I598" s="138"/>
      <c r="J598" s="5" t="s">
        <v>323</v>
      </c>
      <c r="K598" s="5" t="s">
        <v>329</v>
      </c>
      <c r="L598" s="5"/>
      <c r="O598" t="s">
        <v>479</v>
      </c>
      <c r="P598"/>
    </row>
    <row r="599" spans="1:16" ht="15" customHeight="1">
      <c r="A599" s="2" t="s">
        <v>239</v>
      </c>
      <c r="B599" s="26" t="s">
        <v>333</v>
      </c>
      <c r="C599" s="2" t="s">
        <v>1509</v>
      </c>
      <c r="D599" s="2" t="s">
        <v>1015</v>
      </c>
      <c r="F599" s="129">
        <v>1</v>
      </c>
      <c r="I599" s="138"/>
      <c r="J599" s="5" t="s">
        <v>323</v>
      </c>
      <c r="K599" s="5" t="s">
        <v>329</v>
      </c>
      <c r="L599" s="5"/>
      <c r="M599" s="5" t="s">
        <v>1510</v>
      </c>
      <c r="O599" t="s">
        <v>479</v>
      </c>
      <c r="P599"/>
    </row>
    <row r="600" spans="1:16" ht="15" hidden="1" customHeight="1">
      <c r="A600" s="2" t="s">
        <v>239</v>
      </c>
      <c r="B600" s="26" t="s">
        <v>333</v>
      </c>
      <c r="C600" s="2" t="s">
        <v>1511</v>
      </c>
      <c r="D600" s="2" t="s">
        <v>1017</v>
      </c>
      <c r="I600" s="138"/>
      <c r="J600" s="5" t="s">
        <v>323</v>
      </c>
      <c r="K600" s="5" t="s">
        <v>329</v>
      </c>
      <c r="L600" s="5"/>
      <c r="O600"/>
      <c r="P600"/>
    </row>
    <row r="601" spans="1:16" ht="15" hidden="1" customHeight="1">
      <c r="A601" s="2" t="s">
        <v>239</v>
      </c>
      <c r="B601" s="26" t="s">
        <v>333</v>
      </c>
      <c r="C601" s="2" t="s">
        <v>1512</v>
      </c>
      <c r="D601" s="2" t="s">
        <v>1231</v>
      </c>
      <c r="H601" s="138">
        <v>9</v>
      </c>
      <c r="I601" s="138"/>
      <c r="J601" s="5" t="s">
        <v>323</v>
      </c>
      <c r="K601" s="5" t="s">
        <v>328</v>
      </c>
      <c r="L601" s="5"/>
      <c r="O601"/>
      <c r="P601"/>
    </row>
    <row r="602" spans="1:16" ht="15" hidden="1" customHeight="1">
      <c r="A602" s="2" t="s">
        <v>239</v>
      </c>
      <c r="B602" s="26" t="s">
        <v>333</v>
      </c>
      <c r="C602" s="2" t="s">
        <v>1513</v>
      </c>
      <c r="D602" s="2" t="s">
        <v>1021</v>
      </c>
      <c r="I602" s="138"/>
      <c r="J602" s="5" t="s">
        <v>323</v>
      </c>
      <c r="K602" s="5" t="s">
        <v>329</v>
      </c>
      <c r="L602" s="5"/>
      <c r="O602"/>
      <c r="P602"/>
    </row>
    <row r="603" spans="1:16" ht="15" hidden="1" customHeight="1">
      <c r="A603" s="2" t="s">
        <v>239</v>
      </c>
      <c r="B603" s="26" t="s">
        <v>333</v>
      </c>
      <c r="C603" s="2" t="s">
        <v>1514</v>
      </c>
      <c r="D603" s="2" t="s">
        <v>1023</v>
      </c>
      <c r="I603" s="138"/>
      <c r="J603" s="5" t="s">
        <v>323</v>
      </c>
      <c r="K603" s="5" t="s">
        <v>329</v>
      </c>
      <c r="L603" s="5"/>
      <c r="O603"/>
      <c r="P603"/>
    </row>
    <row r="604" spans="1:16" ht="15" hidden="1" customHeight="1">
      <c r="A604" s="2" t="s">
        <v>239</v>
      </c>
      <c r="B604" s="26" t="s">
        <v>333</v>
      </c>
      <c r="C604" s="2" t="s">
        <v>1515</v>
      </c>
      <c r="D604" s="2" t="s">
        <v>120</v>
      </c>
      <c r="I604" s="138"/>
      <c r="J604" s="5" t="s">
        <v>323</v>
      </c>
      <c r="K604" s="5" t="s">
        <v>329</v>
      </c>
      <c r="L604" s="5"/>
      <c r="O604"/>
      <c r="P604"/>
    </row>
    <row r="605" spans="1:16" ht="25.5" hidden="1" customHeight="1">
      <c r="A605" s="2" t="s">
        <v>239</v>
      </c>
      <c r="B605" s="26" t="s">
        <v>333</v>
      </c>
      <c r="C605" s="2" t="s">
        <v>1516</v>
      </c>
      <c r="D605" s="2" t="s">
        <v>1027</v>
      </c>
      <c r="I605" s="138"/>
      <c r="J605" s="5" t="s">
        <v>323</v>
      </c>
      <c r="K605" s="5" t="s">
        <v>329</v>
      </c>
      <c r="L605" s="5"/>
      <c r="O605"/>
      <c r="P605"/>
    </row>
    <row r="606" spans="1:16" ht="15" hidden="1" customHeight="1">
      <c r="A606" s="2" t="s">
        <v>239</v>
      </c>
      <c r="B606" s="26" t="s">
        <v>333</v>
      </c>
      <c r="C606" s="2" t="s">
        <v>1517</v>
      </c>
      <c r="D606" s="2" t="s">
        <v>496</v>
      </c>
      <c r="H606" s="138">
        <v>239</v>
      </c>
      <c r="I606" s="138"/>
      <c r="J606" s="5" t="s">
        <v>323</v>
      </c>
      <c r="K606" s="5" t="s">
        <v>328</v>
      </c>
      <c r="L606" s="5"/>
      <c r="O606"/>
      <c r="P606"/>
    </row>
    <row r="607" spans="1:16" ht="15" hidden="1" customHeight="1">
      <c r="A607" s="2" t="s">
        <v>239</v>
      </c>
      <c r="B607" s="26" t="s">
        <v>333</v>
      </c>
      <c r="C607" s="2" t="s">
        <v>1518</v>
      </c>
      <c r="D607" s="2" t="s">
        <v>500</v>
      </c>
      <c r="I607" s="138"/>
      <c r="J607" s="5" t="s">
        <v>323</v>
      </c>
      <c r="K607" s="5" t="s">
        <v>329</v>
      </c>
      <c r="L607" s="5"/>
      <c r="O607"/>
      <c r="P607"/>
    </row>
    <row r="608" spans="1:16" ht="15" hidden="1" customHeight="1">
      <c r="A608" s="2" t="s">
        <v>239</v>
      </c>
      <c r="B608" s="26" t="s">
        <v>333</v>
      </c>
      <c r="C608" s="2" t="s">
        <v>1519</v>
      </c>
      <c r="D608" s="2" t="s">
        <v>504</v>
      </c>
      <c r="F608" s="129">
        <v>1</v>
      </c>
      <c r="H608" s="138">
        <v>116</v>
      </c>
      <c r="I608" s="138"/>
      <c r="J608" s="5" t="s">
        <v>323</v>
      </c>
      <c r="K608" s="5" t="s">
        <v>328</v>
      </c>
      <c r="L608" s="5"/>
      <c r="O608" t="s">
        <v>479</v>
      </c>
      <c r="P608"/>
    </row>
    <row r="609" spans="1:16" ht="15" hidden="1" customHeight="1">
      <c r="A609" s="2" t="s">
        <v>239</v>
      </c>
      <c r="B609" s="26" t="s">
        <v>333</v>
      </c>
      <c r="C609" s="2" t="s">
        <v>1520</v>
      </c>
      <c r="D609" s="2" t="s">
        <v>1048</v>
      </c>
      <c r="I609" s="138"/>
      <c r="J609" s="5" t="s">
        <v>323</v>
      </c>
      <c r="K609" s="5" t="s">
        <v>329</v>
      </c>
      <c r="L609" s="5"/>
      <c r="O609"/>
      <c r="P609"/>
    </row>
    <row r="610" spans="1:16" ht="25.5" hidden="1" customHeight="1">
      <c r="A610" s="2" t="s">
        <v>239</v>
      </c>
      <c r="B610" s="26" t="s">
        <v>333</v>
      </c>
      <c r="C610" s="2" t="s">
        <v>1521</v>
      </c>
      <c r="D610" s="2" t="s">
        <v>1051</v>
      </c>
      <c r="I610" s="138"/>
      <c r="J610" s="5" t="s">
        <v>323</v>
      </c>
      <c r="K610" s="5" t="s">
        <v>329</v>
      </c>
      <c r="L610" s="5"/>
      <c r="O610"/>
      <c r="P610"/>
    </row>
    <row r="611" spans="1:16" ht="15" hidden="1" customHeight="1">
      <c r="A611" s="2" t="s">
        <v>239</v>
      </c>
      <c r="B611" s="26" t="s">
        <v>333</v>
      </c>
      <c r="C611" s="2" t="s">
        <v>1522</v>
      </c>
      <c r="D611" s="2" t="s">
        <v>1046</v>
      </c>
      <c r="I611" s="138"/>
      <c r="J611" s="5" t="s">
        <v>323</v>
      </c>
      <c r="K611" s="5" t="s">
        <v>329</v>
      </c>
      <c r="L611" s="5"/>
      <c r="O611"/>
      <c r="P611"/>
    </row>
    <row r="612" spans="1:16" ht="15" hidden="1" customHeight="1">
      <c r="A612" s="2" t="s">
        <v>239</v>
      </c>
      <c r="B612" s="26" t="s">
        <v>333</v>
      </c>
      <c r="C612" s="2" t="s">
        <v>1523</v>
      </c>
      <c r="D612" s="2" t="s">
        <v>1245</v>
      </c>
      <c r="I612" s="138"/>
      <c r="J612" s="5" t="s">
        <v>323</v>
      </c>
      <c r="K612" s="5" t="s">
        <v>329</v>
      </c>
      <c r="L612" s="5"/>
      <c r="O612"/>
      <c r="P612"/>
    </row>
    <row r="613" spans="1:16" ht="15" hidden="1" customHeight="1">
      <c r="A613" s="2" t="s">
        <v>239</v>
      </c>
      <c r="B613" s="26" t="s">
        <v>333</v>
      </c>
      <c r="C613" s="2" t="s">
        <v>1524</v>
      </c>
      <c r="D613" s="2" t="s">
        <v>1247</v>
      </c>
      <c r="I613" s="138"/>
      <c r="J613" s="5" t="s">
        <v>323</v>
      </c>
      <c r="K613" s="5" t="s">
        <v>329</v>
      </c>
      <c r="L613" s="5"/>
      <c r="O613"/>
      <c r="P613"/>
    </row>
    <row r="614" spans="1:16" ht="15" hidden="1" customHeight="1">
      <c r="A614" s="2" t="s">
        <v>239</v>
      </c>
      <c r="B614" s="26" t="s">
        <v>333</v>
      </c>
      <c r="C614" s="2" t="s">
        <v>1525</v>
      </c>
      <c r="D614" s="2" t="s">
        <v>1249</v>
      </c>
      <c r="I614" s="138"/>
      <c r="J614" s="5" t="s">
        <v>323</v>
      </c>
      <c r="K614" s="5" t="s">
        <v>329</v>
      </c>
      <c r="L614" s="5"/>
      <c r="O614"/>
      <c r="P614"/>
    </row>
    <row r="615" spans="1:16" ht="15" hidden="1" customHeight="1">
      <c r="A615" s="2" t="s">
        <v>239</v>
      </c>
      <c r="B615" s="26" t="s">
        <v>333</v>
      </c>
      <c r="C615" s="2" t="s">
        <v>1526</v>
      </c>
      <c r="D615" s="2" t="s">
        <v>1037</v>
      </c>
      <c r="I615" s="138"/>
      <c r="J615" s="5" t="s">
        <v>323</v>
      </c>
      <c r="K615" s="5" t="s">
        <v>329</v>
      </c>
      <c r="L615" s="5"/>
      <c r="O615"/>
      <c r="P615"/>
    </row>
    <row r="616" spans="1:16" ht="15" hidden="1" customHeight="1">
      <c r="A616" s="2" t="s">
        <v>239</v>
      </c>
      <c r="B616" s="26" t="s">
        <v>333</v>
      </c>
      <c r="C616" s="2" t="s">
        <v>1527</v>
      </c>
      <c r="D616" s="2" t="s">
        <v>1253</v>
      </c>
      <c r="I616" s="138"/>
      <c r="J616" s="5" t="s">
        <v>323</v>
      </c>
      <c r="K616" s="5" t="s">
        <v>329</v>
      </c>
      <c r="L616" s="5"/>
      <c r="O616"/>
      <c r="P616"/>
    </row>
    <row r="617" spans="1:16" ht="15" hidden="1" customHeight="1">
      <c r="A617" s="2" t="s">
        <v>239</v>
      </c>
      <c r="B617" s="26" t="s">
        <v>333</v>
      </c>
      <c r="C617" s="2" t="s">
        <v>1528</v>
      </c>
      <c r="D617" s="2" t="s">
        <v>1021</v>
      </c>
      <c r="I617" s="138"/>
      <c r="J617" s="5" t="s">
        <v>323</v>
      </c>
      <c r="K617" s="5" t="s">
        <v>329</v>
      </c>
      <c r="L617" s="5"/>
      <c r="O617"/>
      <c r="P617"/>
    </row>
    <row r="618" spans="1:16" ht="15" hidden="1" customHeight="1">
      <c r="A618" s="2" t="s">
        <v>239</v>
      </c>
      <c r="B618" s="26" t="s">
        <v>333</v>
      </c>
      <c r="C618" s="2" t="s">
        <v>1529</v>
      </c>
      <c r="D618" s="2" t="s">
        <v>34</v>
      </c>
      <c r="H618" s="138" t="s">
        <v>1530</v>
      </c>
      <c r="I618" s="138"/>
      <c r="J618" s="5" t="s">
        <v>323</v>
      </c>
      <c r="K618" s="5" t="s">
        <v>328</v>
      </c>
      <c r="L618" s="5"/>
      <c r="O618"/>
      <c r="P618"/>
    </row>
    <row r="619" spans="1:16" ht="15" hidden="1" customHeight="1">
      <c r="A619" s="2" t="s">
        <v>239</v>
      </c>
      <c r="B619" s="26" t="s">
        <v>333</v>
      </c>
      <c r="C619" s="2" t="s">
        <v>1531</v>
      </c>
      <c r="D619" s="2" t="s">
        <v>35</v>
      </c>
      <c r="H619" s="138">
        <v>14</v>
      </c>
      <c r="I619" s="138"/>
      <c r="J619" s="5" t="s">
        <v>323</v>
      </c>
      <c r="K619" s="5" t="s">
        <v>328</v>
      </c>
      <c r="L619" s="5"/>
      <c r="O619"/>
      <c r="P619"/>
    </row>
    <row r="620" spans="1:16" ht="15" hidden="1" customHeight="1">
      <c r="A620" s="2" t="s">
        <v>239</v>
      </c>
      <c r="B620" s="26" t="s">
        <v>333</v>
      </c>
      <c r="C620" s="2" t="s">
        <v>1532</v>
      </c>
      <c r="D620" s="2" t="s">
        <v>545</v>
      </c>
      <c r="H620" s="138">
        <v>5</v>
      </c>
      <c r="I620" s="138"/>
      <c r="J620" s="5" t="s">
        <v>323</v>
      </c>
      <c r="K620" s="5" t="s">
        <v>328</v>
      </c>
      <c r="L620" s="5"/>
      <c r="O620"/>
      <c r="P620"/>
    </row>
    <row r="621" spans="1:16" ht="15" hidden="1" customHeight="1">
      <c r="A621" s="2" t="s">
        <v>239</v>
      </c>
      <c r="B621" s="26" t="s">
        <v>333</v>
      </c>
      <c r="C621" s="2" t="s">
        <v>1533</v>
      </c>
      <c r="D621" s="2" t="s">
        <v>548</v>
      </c>
      <c r="H621" s="138">
        <v>3</v>
      </c>
      <c r="I621" s="138"/>
      <c r="J621" s="5" t="s">
        <v>323</v>
      </c>
      <c r="K621" s="5" t="s">
        <v>328</v>
      </c>
      <c r="L621" s="5"/>
      <c r="O621"/>
      <c r="P621"/>
    </row>
    <row r="622" spans="1:16" ht="15" hidden="1" customHeight="1">
      <c r="A622" s="2" t="s">
        <v>239</v>
      </c>
      <c r="B622" s="26" t="s">
        <v>333</v>
      </c>
      <c r="C622" s="2" t="s">
        <v>1534</v>
      </c>
      <c r="D622" s="2" t="s">
        <v>36</v>
      </c>
      <c r="H622" s="138">
        <v>11</v>
      </c>
      <c r="I622" s="138"/>
      <c r="J622" s="5" t="s">
        <v>323</v>
      </c>
      <c r="K622" s="5" t="s">
        <v>328</v>
      </c>
      <c r="L622" s="5"/>
      <c r="O622"/>
      <c r="P622"/>
    </row>
    <row r="623" spans="1:16" ht="15" hidden="1" customHeight="1">
      <c r="A623" s="2" t="s">
        <v>239</v>
      </c>
      <c r="B623" s="26" t="s">
        <v>333</v>
      </c>
      <c r="C623" s="2" t="s">
        <v>1535</v>
      </c>
      <c r="D623" s="2" t="s">
        <v>554</v>
      </c>
      <c r="H623" s="138">
        <v>1</v>
      </c>
      <c r="I623" s="138"/>
      <c r="J623" s="5" t="s">
        <v>323</v>
      </c>
      <c r="K623" s="5" t="s">
        <v>328</v>
      </c>
      <c r="L623" s="5"/>
      <c r="O623"/>
      <c r="P623"/>
    </row>
    <row r="624" spans="1:16" ht="15" hidden="1" customHeight="1">
      <c r="A624" s="2" t="s">
        <v>239</v>
      </c>
      <c r="B624" s="26" t="s">
        <v>333</v>
      </c>
      <c r="C624" s="2" t="s">
        <v>1536</v>
      </c>
      <c r="D624" s="2" t="s">
        <v>556</v>
      </c>
      <c r="H624" s="138">
        <v>0</v>
      </c>
      <c r="I624" s="138"/>
      <c r="J624" s="5" t="s">
        <v>323</v>
      </c>
      <c r="K624" s="5" t="s">
        <v>328</v>
      </c>
      <c r="L624" s="5"/>
      <c r="O624"/>
      <c r="P624"/>
    </row>
    <row r="625" spans="1:16" ht="15" hidden="1" customHeight="1">
      <c r="A625" s="2" t="s">
        <v>239</v>
      </c>
      <c r="B625" s="26" t="s">
        <v>333</v>
      </c>
      <c r="C625" s="2" t="s">
        <v>1537</v>
      </c>
      <c r="D625" s="2" t="s">
        <v>559</v>
      </c>
      <c r="H625" s="138">
        <v>0</v>
      </c>
      <c r="I625" s="138"/>
      <c r="J625" s="5" t="s">
        <v>323</v>
      </c>
      <c r="K625" s="5" t="s">
        <v>328</v>
      </c>
      <c r="L625" s="5"/>
      <c r="O625"/>
      <c r="P625"/>
    </row>
    <row r="626" spans="1:16" ht="15" hidden="1" customHeight="1">
      <c r="A626" s="2" t="s">
        <v>239</v>
      </c>
      <c r="B626" s="26" t="s">
        <v>333</v>
      </c>
      <c r="C626" s="2" t="s">
        <v>1538</v>
      </c>
      <c r="D626" s="2" t="s">
        <v>56</v>
      </c>
      <c r="H626" s="138">
        <v>0</v>
      </c>
      <c r="I626" s="138"/>
      <c r="J626" s="5" t="s">
        <v>323</v>
      </c>
      <c r="K626" s="5" t="s">
        <v>328</v>
      </c>
      <c r="L626" s="5"/>
      <c r="O626"/>
      <c r="P626"/>
    </row>
    <row r="627" spans="1:16" ht="15" hidden="1" customHeight="1">
      <c r="A627" s="2" t="s">
        <v>239</v>
      </c>
      <c r="B627" s="26" t="s">
        <v>333</v>
      </c>
      <c r="C627" s="2" t="s">
        <v>1539</v>
      </c>
      <c r="D627" s="2" t="s">
        <v>562</v>
      </c>
      <c r="H627" s="138">
        <v>0</v>
      </c>
      <c r="I627" s="138"/>
      <c r="J627" s="5" t="s">
        <v>323</v>
      </c>
      <c r="K627" s="5" t="s">
        <v>328</v>
      </c>
      <c r="L627" s="5"/>
      <c r="O627"/>
      <c r="P627"/>
    </row>
    <row r="628" spans="1:16" ht="15" hidden="1" customHeight="1">
      <c r="A628" s="2" t="s">
        <v>239</v>
      </c>
      <c r="B628" s="26" t="s">
        <v>333</v>
      </c>
      <c r="C628" s="2" t="s">
        <v>1540</v>
      </c>
      <c r="D628" s="2" t="s">
        <v>565</v>
      </c>
      <c r="H628" s="138">
        <v>0</v>
      </c>
      <c r="I628" s="138"/>
      <c r="J628" s="5" t="s">
        <v>323</v>
      </c>
      <c r="K628" s="5" t="s">
        <v>328</v>
      </c>
      <c r="L628" s="5"/>
      <c r="O628"/>
      <c r="P628"/>
    </row>
    <row r="629" spans="1:16" ht="15" hidden="1" customHeight="1">
      <c r="A629" s="2" t="s">
        <v>239</v>
      </c>
      <c r="B629" s="26" t="s">
        <v>333</v>
      </c>
      <c r="C629" s="2" t="s">
        <v>1541</v>
      </c>
      <c r="D629" s="2" t="s">
        <v>59</v>
      </c>
      <c r="H629" s="138">
        <v>0</v>
      </c>
      <c r="I629" s="138"/>
      <c r="J629" s="5" t="s">
        <v>323</v>
      </c>
      <c r="K629" s="5" t="s">
        <v>328</v>
      </c>
      <c r="L629" s="5"/>
      <c r="O629"/>
      <c r="P629"/>
    </row>
    <row r="630" spans="1:16" ht="15" hidden="1" customHeight="1">
      <c r="A630" s="2" t="s">
        <v>239</v>
      </c>
      <c r="B630" s="26" t="s">
        <v>1068</v>
      </c>
      <c r="C630" s="2" t="s">
        <v>1542</v>
      </c>
      <c r="D630" s="2" t="s">
        <v>1070</v>
      </c>
      <c r="I630" s="138"/>
      <c r="J630" s="5" t="s">
        <v>323</v>
      </c>
      <c r="K630" s="5" t="s">
        <v>330</v>
      </c>
      <c r="L630" s="5"/>
      <c r="O630"/>
      <c r="P630"/>
    </row>
    <row r="631" spans="1:16" ht="15" hidden="1" customHeight="1">
      <c r="A631" s="2" t="s">
        <v>239</v>
      </c>
      <c r="B631" s="26" t="s">
        <v>1068</v>
      </c>
      <c r="C631" s="2" t="s">
        <v>1543</v>
      </c>
      <c r="D631" s="2" t="s">
        <v>1072</v>
      </c>
      <c r="F631" s="129">
        <v>1</v>
      </c>
      <c r="H631" s="138">
        <v>1</v>
      </c>
      <c r="I631" s="138"/>
      <c r="J631" s="5" t="s">
        <v>323</v>
      </c>
      <c r="K631" s="5" t="s">
        <v>328</v>
      </c>
      <c r="L631" s="5"/>
      <c r="O631" t="s">
        <v>479</v>
      </c>
      <c r="P631"/>
    </row>
    <row r="632" spans="1:16" ht="15" hidden="1" customHeight="1">
      <c r="A632" s="2" t="s">
        <v>239</v>
      </c>
      <c r="B632" s="26" t="s">
        <v>1068</v>
      </c>
      <c r="C632" s="2" t="s">
        <v>1544</v>
      </c>
      <c r="D632" s="2" t="s">
        <v>1074</v>
      </c>
      <c r="I632" s="138"/>
      <c r="J632" s="5" t="s">
        <v>323</v>
      </c>
      <c r="K632" s="5" t="s">
        <v>329</v>
      </c>
      <c r="L632" s="5"/>
      <c r="O632"/>
      <c r="P632"/>
    </row>
    <row r="633" spans="1:16" ht="15" hidden="1" customHeight="1">
      <c r="A633" s="2" t="s">
        <v>239</v>
      </c>
      <c r="B633" s="26" t="s">
        <v>1068</v>
      </c>
      <c r="C633" s="2" t="s">
        <v>1545</v>
      </c>
      <c r="D633" s="2" t="s">
        <v>1076</v>
      </c>
      <c r="I633" s="138"/>
      <c r="J633" s="5" t="s">
        <v>323</v>
      </c>
      <c r="K633" s="5" t="s">
        <v>329</v>
      </c>
      <c r="L633" s="5"/>
      <c r="O633"/>
      <c r="P633"/>
    </row>
    <row r="634" spans="1:16" ht="15" hidden="1" customHeight="1">
      <c r="A634" s="2" t="s">
        <v>239</v>
      </c>
      <c r="B634" s="26" t="s">
        <v>1068</v>
      </c>
      <c r="C634" s="2" t="s">
        <v>1546</v>
      </c>
      <c r="D634" s="2" t="s">
        <v>1079</v>
      </c>
      <c r="H634" s="138">
        <v>0</v>
      </c>
      <c r="I634" s="138"/>
      <c r="J634" s="5" t="s">
        <v>323</v>
      </c>
      <c r="K634" s="5" t="s">
        <v>328</v>
      </c>
      <c r="L634" s="5"/>
      <c r="O634"/>
      <c r="P634"/>
    </row>
    <row r="635" spans="1:16" ht="15" hidden="1" customHeight="1">
      <c r="A635" s="2" t="s">
        <v>239</v>
      </c>
      <c r="B635" s="26" t="s">
        <v>1068</v>
      </c>
      <c r="C635" s="2" t="s">
        <v>1547</v>
      </c>
      <c r="D635" s="2" t="s">
        <v>1081</v>
      </c>
      <c r="H635" s="138">
        <v>41</v>
      </c>
      <c r="I635" s="138"/>
      <c r="J635" s="5" t="s">
        <v>323</v>
      </c>
      <c r="K635" s="5" t="s">
        <v>328</v>
      </c>
      <c r="L635" s="5"/>
      <c r="O635"/>
      <c r="P635"/>
    </row>
    <row r="636" spans="1:16" ht="15" hidden="1" customHeight="1">
      <c r="A636" s="2" t="s">
        <v>239</v>
      </c>
      <c r="B636" s="26" t="s">
        <v>1068</v>
      </c>
      <c r="C636" s="2" t="s">
        <v>1548</v>
      </c>
      <c r="D636" s="2" t="s">
        <v>1083</v>
      </c>
      <c r="H636" s="138">
        <v>34</v>
      </c>
      <c r="I636" s="138"/>
      <c r="J636" s="5" t="s">
        <v>323</v>
      </c>
      <c r="K636" s="5" t="s">
        <v>328</v>
      </c>
      <c r="L636" s="5"/>
      <c r="O636"/>
      <c r="P636"/>
    </row>
    <row r="637" spans="1:16" ht="15" hidden="1" customHeight="1">
      <c r="A637" s="2" t="s">
        <v>239</v>
      </c>
      <c r="B637" s="26" t="s">
        <v>1068</v>
      </c>
      <c r="C637" s="2" t="s">
        <v>1549</v>
      </c>
      <c r="D637" s="2" t="s">
        <v>1085</v>
      </c>
      <c r="I637" s="138"/>
      <c r="J637" s="5" t="s">
        <v>323</v>
      </c>
      <c r="K637" s="5" t="s">
        <v>330</v>
      </c>
      <c r="L637" s="5"/>
      <c r="O637"/>
      <c r="P637"/>
    </row>
    <row r="638" spans="1:16" ht="15" hidden="1" customHeight="1">
      <c r="A638" s="2" t="s">
        <v>239</v>
      </c>
      <c r="B638" s="26" t="s">
        <v>1068</v>
      </c>
      <c r="C638" s="2" t="s">
        <v>1550</v>
      </c>
      <c r="D638" s="2" t="s">
        <v>1087</v>
      </c>
      <c r="F638" s="129">
        <v>1</v>
      </c>
      <c r="H638" s="138">
        <v>33</v>
      </c>
      <c r="I638" s="138"/>
      <c r="J638" s="5" t="s">
        <v>323</v>
      </c>
      <c r="K638" s="5" t="s">
        <v>328</v>
      </c>
      <c r="L638" s="5"/>
      <c r="O638" t="s">
        <v>479</v>
      </c>
      <c r="P638"/>
    </row>
    <row r="639" spans="1:16" ht="15" hidden="1" customHeight="1">
      <c r="A639" s="2" t="s">
        <v>239</v>
      </c>
      <c r="B639" s="26" t="s">
        <v>1068</v>
      </c>
      <c r="C639" s="2" t="s">
        <v>1551</v>
      </c>
      <c r="D639" s="2" t="s">
        <v>1552</v>
      </c>
      <c r="I639" s="138"/>
      <c r="J639" s="5" t="s">
        <v>323</v>
      </c>
      <c r="K639" s="5" t="s">
        <v>330</v>
      </c>
      <c r="L639" s="5"/>
      <c r="O639"/>
      <c r="P639"/>
    </row>
    <row r="640" spans="1:16" ht="15" hidden="1" customHeight="1">
      <c r="A640" s="2" t="s">
        <v>239</v>
      </c>
      <c r="B640" s="26" t="s">
        <v>1068</v>
      </c>
      <c r="C640" s="2" t="s">
        <v>1553</v>
      </c>
      <c r="D640" s="2" t="s">
        <v>1091</v>
      </c>
      <c r="I640" s="138"/>
      <c r="J640" s="5" t="s">
        <v>323</v>
      </c>
      <c r="K640" s="5" t="s">
        <v>329</v>
      </c>
      <c r="L640" s="5"/>
      <c r="O640"/>
      <c r="P640"/>
    </row>
    <row r="641" spans="1:16" ht="15" hidden="1" customHeight="1">
      <c r="A641" s="2" t="s">
        <v>239</v>
      </c>
      <c r="B641" s="26" t="s">
        <v>1068</v>
      </c>
      <c r="C641" s="2" t="s">
        <v>1554</v>
      </c>
      <c r="D641" s="2" t="s">
        <v>131</v>
      </c>
      <c r="H641" s="138">
        <v>9</v>
      </c>
      <c r="I641" s="138"/>
      <c r="J641" s="5" t="s">
        <v>323</v>
      </c>
      <c r="K641" s="5" t="s">
        <v>328</v>
      </c>
      <c r="L641" s="5"/>
      <c r="O641"/>
      <c r="P641"/>
    </row>
    <row r="642" spans="1:16" ht="15" hidden="1" customHeight="1">
      <c r="A642" s="2" t="s">
        <v>239</v>
      </c>
      <c r="B642" s="26" t="s">
        <v>1068</v>
      </c>
      <c r="C642" s="2" t="s">
        <v>1555</v>
      </c>
      <c r="D642" s="2" t="s">
        <v>141</v>
      </c>
      <c r="F642" s="129">
        <v>1</v>
      </c>
      <c r="H642" s="138">
        <v>9</v>
      </c>
      <c r="I642" s="138"/>
      <c r="J642" s="5" t="s">
        <v>323</v>
      </c>
      <c r="K642" s="5" t="s">
        <v>328</v>
      </c>
      <c r="L642" s="5"/>
      <c r="O642" t="s">
        <v>479</v>
      </c>
      <c r="P642"/>
    </row>
    <row r="643" spans="1:16" ht="15" hidden="1" customHeight="1">
      <c r="A643" s="2" t="s">
        <v>239</v>
      </c>
      <c r="B643" s="26" t="s">
        <v>1068</v>
      </c>
      <c r="C643" s="2" t="s">
        <v>1556</v>
      </c>
      <c r="D643" s="2" t="s">
        <v>132</v>
      </c>
      <c r="I643" s="138"/>
      <c r="J643" s="5" t="s">
        <v>323</v>
      </c>
      <c r="K643" s="5" t="s">
        <v>329</v>
      </c>
      <c r="L643" s="5"/>
      <c r="O643"/>
      <c r="P643"/>
    </row>
    <row r="644" spans="1:16" ht="25.5" hidden="1" customHeight="1">
      <c r="A644" s="2" t="s">
        <v>239</v>
      </c>
      <c r="B644" s="26" t="s">
        <v>1068</v>
      </c>
      <c r="C644" s="2" t="s">
        <v>1557</v>
      </c>
      <c r="D644" s="2" t="s">
        <v>1099</v>
      </c>
      <c r="I644" s="138"/>
      <c r="J644" s="5" t="s">
        <v>323</v>
      </c>
      <c r="K644" s="5" t="s">
        <v>329</v>
      </c>
      <c r="L644" s="5"/>
      <c r="O644"/>
      <c r="P644"/>
    </row>
    <row r="645" spans="1:16" ht="15" hidden="1" customHeight="1">
      <c r="A645" s="2" t="s">
        <v>239</v>
      </c>
      <c r="B645" s="26" t="s">
        <v>1068</v>
      </c>
      <c r="C645" s="2" t="s">
        <v>1558</v>
      </c>
      <c r="D645" s="2" t="s">
        <v>1102</v>
      </c>
      <c r="I645" s="138"/>
      <c r="J645" s="5" t="s">
        <v>323</v>
      </c>
      <c r="K645" s="5" t="s">
        <v>328</v>
      </c>
      <c r="L645" s="5"/>
      <c r="O645"/>
      <c r="P645"/>
    </row>
    <row r="646" spans="1:16" ht="15" hidden="1" customHeight="1">
      <c r="A646" s="2" t="s">
        <v>239</v>
      </c>
      <c r="B646" s="26" t="s">
        <v>1068</v>
      </c>
      <c r="C646" s="2" t="s">
        <v>1559</v>
      </c>
      <c r="D646" s="2" t="s">
        <v>1104</v>
      </c>
      <c r="I646" s="138"/>
      <c r="J646" s="5" t="s">
        <v>323</v>
      </c>
      <c r="K646" s="5" t="s">
        <v>328</v>
      </c>
      <c r="L646" s="5"/>
      <c r="O646"/>
      <c r="P646"/>
    </row>
    <row r="647" spans="1:16" ht="15" hidden="1" customHeight="1">
      <c r="A647" s="2" t="s">
        <v>239</v>
      </c>
      <c r="B647" s="26" t="s">
        <v>1068</v>
      </c>
      <c r="C647" s="2" t="s">
        <v>1560</v>
      </c>
      <c r="D647" s="2" t="s">
        <v>1104</v>
      </c>
      <c r="I647" s="138"/>
      <c r="J647" s="5" t="s">
        <v>323</v>
      </c>
      <c r="K647" s="5" t="s">
        <v>328</v>
      </c>
      <c r="L647" s="5"/>
      <c r="O647"/>
      <c r="P647"/>
    </row>
    <row r="648" spans="1:16" ht="15" hidden="1" customHeight="1">
      <c r="A648" s="2" t="s">
        <v>239</v>
      </c>
      <c r="B648" s="26" t="s">
        <v>1068</v>
      </c>
      <c r="C648" s="2" t="s">
        <v>1561</v>
      </c>
      <c r="D648" s="2" t="s">
        <v>1109</v>
      </c>
      <c r="I648" s="138"/>
      <c r="J648" s="5" t="s">
        <v>323</v>
      </c>
      <c r="K648" s="5" t="s">
        <v>328</v>
      </c>
      <c r="L648" s="5"/>
      <c r="O648"/>
      <c r="P648"/>
    </row>
    <row r="649" spans="1:16" ht="15" hidden="1" customHeight="1">
      <c r="A649" s="2" t="s">
        <v>239</v>
      </c>
      <c r="B649" s="26" t="s">
        <v>1068</v>
      </c>
      <c r="C649" s="2" t="s">
        <v>1562</v>
      </c>
      <c r="D649" s="2" t="s">
        <v>1109</v>
      </c>
      <c r="I649" s="138"/>
      <c r="J649" s="5" t="s">
        <v>323</v>
      </c>
      <c r="K649" s="5" t="s">
        <v>328</v>
      </c>
      <c r="L649" s="5"/>
      <c r="O649"/>
      <c r="P649"/>
    </row>
    <row r="650" spans="1:16" ht="15" hidden="1" customHeight="1">
      <c r="A650" s="2" t="s">
        <v>239</v>
      </c>
      <c r="B650" s="26" t="s">
        <v>1068</v>
      </c>
      <c r="C650" s="2" t="s">
        <v>1563</v>
      </c>
      <c r="D650" s="2" t="s">
        <v>1112</v>
      </c>
      <c r="I650" s="138"/>
      <c r="J650" s="5" t="s">
        <v>323</v>
      </c>
      <c r="K650" s="5" t="s">
        <v>328</v>
      </c>
      <c r="L650" s="5"/>
      <c r="O650"/>
      <c r="P650"/>
    </row>
    <row r="651" spans="1:16" ht="15" hidden="1" customHeight="1">
      <c r="A651" s="2" t="s">
        <v>239</v>
      </c>
      <c r="B651" s="26" t="s">
        <v>1068</v>
      </c>
      <c r="C651" s="2" t="s">
        <v>1564</v>
      </c>
      <c r="D651" s="2" t="s">
        <v>1114</v>
      </c>
      <c r="I651" s="138"/>
      <c r="J651" s="5" t="s">
        <v>323</v>
      </c>
      <c r="K651" s="5" t="s">
        <v>328</v>
      </c>
      <c r="L651" s="5"/>
      <c r="O651"/>
      <c r="P651"/>
    </row>
    <row r="652" spans="1:16" ht="15" hidden="1" customHeight="1">
      <c r="A652" s="2" t="s">
        <v>239</v>
      </c>
      <c r="B652" s="26" t="s">
        <v>1068</v>
      </c>
      <c r="C652" s="2" t="s">
        <v>1565</v>
      </c>
      <c r="D652" s="2" t="s">
        <v>1116</v>
      </c>
      <c r="I652" s="138"/>
      <c r="J652" s="5" t="s">
        <v>323</v>
      </c>
      <c r="K652" s="5" t="s">
        <v>328</v>
      </c>
      <c r="L652" s="5"/>
      <c r="O652"/>
      <c r="P652"/>
    </row>
    <row r="653" spans="1:16" ht="15" hidden="1" customHeight="1">
      <c r="A653" s="2" t="s">
        <v>239</v>
      </c>
      <c r="B653" s="26" t="s">
        <v>1117</v>
      </c>
      <c r="C653" s="2" t="s">
        <v>1566</v>
      </c>
      <c r="D653" s="2" t="s">
        <v>1119</v>
      </c>
      <c r="I653" s="138"/>
      <c r="J653" s="5" t="s">
        <v>323</v>
      </c>
      <c r="K653" s="5" t="s">
        <v>330</v>
      </c>
      <c r="L653" s="5"/>
      <c r="O653"/>
      <c r="P653"/>
    </row>
    <row r="654" spans="1:16" ht="15" hidden="1" customHeight="1">
      <c r="A654" s="2" t="s">
        <v>239</v>
      </c>
      <c r="B654" s="26" t="s">
        <v>1117</v>
      </c>
      <c r="C654" s="2" t="s">
        <v>1567</v>
      </c>
      <c r="D654" s="2" t="s">
        <v>173</v>
      </c>
      <c r="H654" s="138">
        <v>17</v>
      </c>
      <c r="I654" s="138"/>
      <c r="J654" s="5" t="s">
        <v>323</v>
      </c>
      <c r="K654" s="5" t="s">
        <v>328</v>
      </c>
      <c r="L654" s="5"/>
      <c r="M654" s="5" t="s">
        <v>546</v>
      </c>
      <c r="O654"/>
      <c r="P654"/>
    </row>
    <row r="655" spans="1:16" ht="15" hidden="1" customHeight="1">
      <c r="A655" s="2" t="s">
        <v>239</v>
      </c>
      <c r="B655" s="26" t="s">
        <v>1117</v>
      </c>
      <c r="C655" s="2" t="s">
        <v>1568</v>
      </c>
      <c r="D655" s="2" t="s">
        <v>1122</v>
      </c>
      <c r="F655" s="129">
        <v>1</v>
      </c>
      <c r="H655" s="138">
        <v>17</v>
      </c>
      <c r="I655" s="138"/>
      <c r="J655" s="5" t="s">
        <v>323</v>
      </c>
      <c r="K655" s="5" t="s">
        <v>328</v>
      </c>
      <c r="L655" s="5"/>
      <c r="M655" s="5" t="s">
        <v>546</v>
      </c>
      <c r="O655" t="s">
        <v>479</v>
      </c>
      <c r="P655"/>
    </row>
    <row r="656" spans="1:16" ht="15" hidden="1" customHeight="1">
      <c r="A656" s="2" t="s">
        <v>239</v>
      </c>
      <c r="B656" s="26" t="s">
        <v>1117</v>
      </c>
      <c r="C656" s="2" t="s">
        <v>1569</v>
      </c>
      <c r="D656" s="2" t="s">
        <v>1124</v>
      </c>
      <c r="H656" s="138">
        <v>16</v>
      </c>
      <c r="I656" s="138"/>
      <c r="J656" s="5" t="s">
        <v>323</v>
      </c>
      <c r="K656" s="5" t="s">
        <v>328</v>
      </c>
      <c r="L656" s="5"/>
      <c r="M656" s="5" t="s">
        <v>1125</v>
      </c>
      <c r="O656"/>
      <c r="P656"/>
    </row>
    <row r="657" spans="1:16" ht="15" hidden="1" customHeight="1">
      <c r="A657" s="2" t="s">
        <v>239</v>
      </c>
      <c r="B657" s="26" t="s">
        <v>1117</v>
      </c>
      <c r="C657" s="2" t="s">
        <v>1570</v>
      </c>
      <c r="D657" s="2" t="s">
        <v>1127</v>
      </c>
      <c r="I657" s="138"/>
      <c r="J657" s="5" t="s">
        <v>323</v>
      </c>
      <c r="K657" s="5" t="s">
        <v>329</v>
      </c>
      <c r="L657" s="5"/>
      <c r="O657"/>
      <c r="P657"/>
    </row>
    <row r="658" spans="1:16" ht="15" hidden="1" customHeight="1">
      <c r="A658" s="2" t="s">
        <v>239</v>
      </c>
      <c r="B658" s="26" t="s">
        <v>1117</v>
      </c>
      <c r="C658" s="2" t="s">
        <v>1571</v>
      </c>
      <c r="D658" s="2" t="s">
        <v>1129</v>
      </c>
      <c r="I658" s="138"/>
      <c r="J658" s="5" t="s">
        <v>323</v>
      </c>
      <c r="K658" s="5" t="s">
        <v>329</v>
      </c>
      <c r="L658" s="5"/>
      <c r="O658"/>
      <c r="P658"/>
    </row>
    <row r="659" spans="1:16" ht="15" hidden="1" customHeight="1">
      <c r="A659" s="2" t="s">
        <v>239</v>
      </c>
      <c r="B659" s="26" t="s">
        <v>1117</v>
      </c>
      <c r="C659" s="2" t="s">
        <v>1572</v>
      </c>
      <c r="D659" s="2" t="s">
        <v>1131</v>
      </c>
      <c r="H659" s="138">
        <v>1</v>
      </c>
      <c r="I659" s="138"/>
      <c r="J659" s="5" t="s">
        <v>323</v>
      </c>
      <c r="K659" s="5" t="s">
        <v>328</v>
      </c>
      <c r="L659" s="5"/>
      <c r="M659" s="5" t="s">
        <v>546</v>
      </c>
      <c r="O659"/>
      <c r="P659"/>
    </row>
    <row r="660" spans="1:16" ht="15" hidden="1" customHeight="1">
      <c r="A660" s="2" t="s">
        <v>239</v>
      </c>
      <c r="B660" s="26" t="s">
        <v>1117</v>
      </c>
      <c r="C660" s="2" t="s">
        <v>1573</v>
      </c>
      <c r="D660" s="2" t="s">
        <v>1021</v>
      </c>
      <c r="I660" s="138"/>
      <c r="J660" s="5" t="s">
        <v>323</v>
      </c>
      <c r="K660" s="5" t="s">
        <v>329</v>
      </c>
      <c r="L660" s="5"/>
      <c r="O660"/>
      <c r="P660"/>
    </row>
    <row r="661" spans="1:16" ht="15" hidden="1" customHeight="1">
      <c r="A661" s="2" t="s">
        <v>239</v>
      </c>
      <c r="B661" s="26" t="s">
        <v>1117</v>
      </c>
      <c r="C661" s="2" t="s">
        <v>1574</v>
      </c>
      <c r="D661" s="2" t="s">
        <v>1023</v>
      </c>
      <c r="I661" s="138"/>
      <c r="J661" s="5" t="s">
        <v>323</v>
      </c>
      <c r="K661" s="5" t="s">
        <v>329</v>
      </c>
      <c r="L661" s="5"/>
      <c r="O661"/>
      <c r="P661"/>
    </row>
    <row r="662" spans="1:16" ht="15" hidden="1" customHeight="1">
      <c r="A662" s="2" t="s">
        <v>239</v>
      </c>
      <c r="B662" s="26" t="s">
        <v>1117</v>
      </c>
      <c r="C662" s="2" t="s">
        <v>1575</v>
      </c>
      <c r="D662" s="2" t="s">
        <v>1135</v>
      </c>
      <c r="H662" s="138">
        <v>0</v>
      </c>
      <c r="I662" s="138"/>
      <c r="J662" s="5" t="s">
        <v>323</v>
      </c>
      <c r="K662" s="5" t="s">
        <v>328</v>
      </c>
      <c r="L662" s="5"/>
      <c r="O662"/>
      <c r="P662"/>
    </row>
    <row r="663" spans="1:16" ht="15" hidden="1" customHeight="1">
      <c r="A663" s="2" t="s">
        <v>239</v>
      </c>
      <c r="B663" s="26" t="s">
        <v>1117</v>
      </c>
      <c r="C663" s="2" t="s">
        <v>1576</v>
      </c>
      <c r="D663" s="2" t="s">
        <v>1137</v>
      </c>
      <c r="I663" s="138"/>
      <c r="J663" s="5" t="s">
        <v>323</v>
      </c>
      <c r="K663" s="5" t="s">
        <v>329</v>
      </c>
      <c r="L663" s="5"/>
      <c r="O663"/>
      <c r="P663"/>
    </row>
    <row r="664" spans="1:16" ht="15" hidden="1" customHeight="1">
      <c r="A664" s="2" t="s">
        <v>239</v>
      </c>
      <c r="B664" s="26" t="s">
        <v>1117</v>
      </c>
      <c r="C664" s="2" t="s">
        <v>1577</v>
      </c>
      <c r="D664" s="2" t="s">
        <v>1139</v>
      </c>
      <c r="F664" s="129">
        <v>1</v>
      </c>
      <c r="H664" s="138">
        <v>0</v>
      </c>
      <c r="I664" s="138"/>
      <c r="J664" s="5" t="s">
        <v>323</v>
      </c>
      <c r="K664" s="5" t="s">
        <v>328</v>
      </c>
      <c r="L664" s="5"/>
      <c r="M664" s="5" t="s">
        <v>478</v>
      </c>
      <c r="O664" t="s">
        <v>479</v>
      </c>
      <c r="P664"/>
    </row>
    <row r="665" spans="1:16" ht="15" hidden="1" customHeight="1">
      <c r="A665" s="2" t="s">
        <v>239</v>
      </c>
      <c r="B665" s="26" t="s">
        <v>1117</v>
      </c>
      <c r="C665" s="2" t="s">
        <v>1578</v>
      </c>
      <c r="D665" s="2" t="s">
        <v>1141</v>
      </c>
      <c r="I665" s="138"/>
      <c r="J665" s="5" t="s">
        <v>323</v>
      </c>
      <c r="K665" s="5" t="s">
        <v>329</v>
      </c>
      <c r="L665" s="5"/>
      <c r="M665" s="5" t="s">
        <v>385</v>
      </c>
      <c r="O665"/>
      <c r="P665"/>
    </row>
    <row r="666" spans="1:16" ht="15" hidden="1" customHeight="1">
      <c r="A666" s="2" t="s">
        <v>239</v>
      </c>
      <c r="B666" s="26" t="s">
        <v>1117</v>
      </c>
      <c r="C666" s="2" t="s">
        <v>1579</v>
      </c>
      <c r="D666" s="2" t="s">
        <v>1143</v>
      </c>
      <c r="I666" s="138"/>
      <c r="J666" s="5" t="s">
        <v>323</v>
      </c>
      <c r="K666" s="5" t="s">
        <v>329</v>
      </c>
      <c r="L666" s="5"/>
      <c r="O666"/>
      <c r="P666"/>
    </row>
    <row r="667" spans="1:16" ht="15" hidden="1" customHeight="1">
      <c r="A667" s="2" t="s">
        <v>239</v>
      </c>
      <c r="B667" s="26" t="s">
        <v>1117</v>
      </c>
      <c r="C667" s="2" t="s">
        <v>1580</v>
      </c>
      <c r="D667" s="2" t="s">
        <v>28</v>
      </c>
      <c r="I667" s="138"/>
      <c r="J667" s="5" t="s">
        <v>323</v>
      </c>
      <c r="K667" s="5" t="s">
        <v>329</v>
      </c>
      <c r="L667" s="5"/>
      <c r="O667"/>
      <c r="P667"/>
    </row>
    <row r="668" spans="1:16" ht="15" hidden="1" customHeight="1">
      <c r="A668" s="2" t="s">
        <v>239</v>
      </c>
      <c r="B668" s="26" t="s">
        <v>1145</v>
      </c>
      <c r="C668" s="2" t="s">
        <v>1581</v>
      </c>
      <c r="D668" s="2" t="s">
        <v>1147</v>
      </c>
      <c r="I668" s="138"/>
      <c r="J668" s="5" t="s">
        <v>323</v>
      </c>
      <c r="K668" s="5" t="s">
        <v>330</v>
      </c>
      <c r="L668" s="5"/>
      <c r="O668"/>
      <c r="P668"/>
    </row>
    <row r="669" spans="1:16" ht="15" hidden="1" customHeight="1">
      <c r="A669" s="2" t="s">
        <v>239</v>
      </c>
      <c r="B669" s="26" t="s">
        <v>1145</v>
      </c>
      <c r="C669" s="2" t="s">
        <v>1582</v>
      </c>
      <c r="D669" s="2" t="s">
        <v>1583</v>
      </c>
      <c r="F669" s="129">
        <v>1</v>
      </c>
      <c r="H669" s="138">
        <v>95</v>
      </c>
      <c r="I669" s="138"/>
      <c r="J669" s="5" t="s">
        <v>323</v>
      </c>
      <c r="K669" s="5" t="s">
        <v>328</v>
      </c>
      <c r="L669" s="5"/>
      <c r="M669" s="5" t="s">
        <v>1151</v>
      </c>
      <c r="O669" t="s">
        <v>479</v>
      </c>
      <c r="P669"/>
    </row>
    <row r="670" spans="1:16" ht="15" hidden="1" customHeight="1">
      <c r="A670" s="2" t="s">
        <v>239</v>
      </c>
      <c r="B670" s="26" t="s">
        <v>1145</v>
      </c>
      <c r="C670" s="2" t="s">
        <v>1584</v>
      </c>
      <c r="D670" s="2" t="s">
        <v>147</v>
      </c>
      <c r="I670" s="138"/>
      <c r="J670" s="5" t="s">
        <v>323</v>
      </c>
      <c r="K670" s="5" t="s">
        <v>329</v>
      </c>
      <c r="L670" s="5"/>
      <c r="O670"/>
      <c r="P670"/>
    </row>
    <row r="671" spans="1:16" ht="15" hidden="1" customHeight="1">
      <c r="A671" s="2" t="s">
        <v>239</v>
      </c>
      <c r="B671" s="26" t="s">
        <v>1145</v>
      </c>
      <c r="C671" s="2" t="s">
        <v>1585</v>
      </c>
      <c r="D671" s="2" t="s">
        <v>150</v>
      </c>
      <c r="I671" s="138"/>
      <c r="J671" s="5" t="s">
        <v>323</v>
      </c>
      <c r="K671" s="5" t="s">
        <v>329</v>
      </c>
      <c r="L671" s="5"/>
      <c r="O671"/>
      <c r="P671"/>
    </row>
    <row r="672" spans="1:16" ht="15" hidden="1" customHeight="1">
      <c r="A672" s="2" t="s">
        <v>239</v>
      </c>
      <c r="B672" s="26" t="s">
        <v>1145</v>
      </c>
      <c r="C672" s="2" t="s">
        <v>1586</v>
      </c>
      <c r="D672" s="2" t="s">
        <v>1159</v>
      </c>
      <c r="H672" s="138" t="s">
        <v>1160</v>
      </c>
      <c r="I672" s="138"/>
      <c r="J672" s="5" t="s">
        <v>323</v>
      </c>
      <c r="K672" s="5" t="s">
        <v>328</v>
      </c>
      <c r="L672" s="5"/>
      <c r="M672" s="5" t="s">
        <v>801</v>
      </c>
      <c r="O672"/>
      <c r="P672"/>
    </row>
    <row r="673" spans="1:16" ht="15" hidden="1" customHeight="1">
      <c r="A673" s="2" t="s">
        <v>239</v>
      </c>
      <c r="B673" s="26" t="s">
        <v>1145</v>
      </c>
      <c r="C673" s="2" t="s">
        <v>1587</v>
      </c>
      <c r="D673" s="2" t="s">
        <v>1163</v>
      </c>
      <c r="I673" s="138"/>
      <c r="J673" s="5" t="s">
        <v>323</v>
      </c>
      <c r="K673" s="5" t="s">
        <v>329</v>
      </c>
      <c r="L673" s="5"/>
      <c r="O673"/>
      <c r="P673"/>
    </row>
    <row r="674" spans="1:16" ht="15" hidden="1" customHeight="1">
      <c r="A674" s="2" t="s">
        <v>239</v>
      </c>
      <c r="B674" s="26" t="s">
        <v>1145</v>
      </c>
      <c r="C674" s="2" t="s">
        <v>1588</v>
      </c>
      <c r="D674" s="2" t="s">
        <v>1165</v>
      </c>
      <c r="I674" s="138"/>
      <c r="J674" s="5" t="s">
        <v>323</v>
      </c>
      <c r="K674" s="5" t="s">
        <v>330</v>
      </c>
      <c r="L674" s="5"/>
      <c r="O674"/>
      <c r="P674"/>
    </row>
    <row r="675" spans="1:16" ht="15" hidden="1" customHeight="1">
      <c r="A675" s="2" t="s">
        <v>239</v>
      </c>
      <c r="B675" s="26" t="s">
        <v>1145</v>
      </c>
      <c r="C675" s="2" t="s">
        <v>1589</v>
      </c>
      <c r="D675" s="2" t="s">
        <v>1167</v>
      </c>
      <c r="I675" s="138"/>
      <c r="J675" s="5" t="s">
        <v>323</v>
      </c>
      <c r="K675" s="5" t="s">
        <v>329</v>
      </c>
      <c r="L675" s="5"/>
      <c r="O675"/>
      <c r="P675"/>
    </row>
    <row r="676" spans="1:16" ht="25.5" hidden="1" customHeight="1">
      <c r="A676" s="2" t="s">
        <v>239</v>
      </c>
      <c r="B676" s="26" t="s">
        <v>1145</v>
      </c>
      <c r="C676" s="2" t="s">
        <v>1590</v>
      </c>
      <c r="D676" s="2" t="s">
        <v>1169</v>
      </c>
      <c r="I676" s="138"/>
      <c r="J676" s="5" t="s">
        <v>323</v>
      </c>
      <c r="K676" s="5" t="s">
        <v>329</v>
      </c>
      <c r="L676" s="5"/>
      <c r="O676"/>
      <c r="P676"/>
    </row>
    <row r="677" spans="1:16" ht="15" customHeight="1">
      <c r="A677" s="2" t="s">
        <v>239</v>
      </c>
      <c r="B677" s="26" t="s">
        <v>1145</v>
      </c>
      <c r="C677" s="2" t="s">
        <v>1591</v>
      </c>
      <c r="D677" s="2" t="s">
        <v>1171</v>
      </c>
      <c r="F677" s="129">
        <v>1</v>
      </c>
      <c r="I677" s="138"/>
      <c r="J677" s="5" t="s">
        <v>323</v>
      </c>
      <c r="K677" s="5" t="s">
        <v>329</v>
      </c>
      <c r="L677" s="5"/>
      <c r="O677" t="s">
        <v>479</v>
      </c>
      <c r="P677"/>
    </row>
    <row r="678" spans="1:16" ht="15" customHeight="1">
      <c r="A678" s="2" t="s">
        <v>239</v>
      </c>
      <c r="B678" s="26" t="s">
        <v>1145</v>
      </c>
      <c r="C678" s="2" t="s">
        <v>1592</v>
      </c>
      <c r="D678" s="2" t="s">
        <v>1173</v>
      </c>
      <c r="F678" s="129">
        <v>1</v>
      </c>
      <c r="I678" s="138"/>
      <c r="J678" s="5" t="s">
        <v>323</v>
      </c>
      <c r="K678" s="5" t="s">
        <v>329</v>
      </c>
      <c r="L678" s="5"/>
      <c r="O678" t="s">
        <v>479</v>
      </c>
      <c r="P678"/>
    </row>
    <row r="679" spans="1:16" ht="15" hidden="1" customHeight="1">
      <c r="A679" s="2" t="s">
        <v>239</v>
      </c>
      <c r="B679" s="102" t="s">
        <v>336</v>
      </c>
      <c r="C679" s="2" t="s">
        <v>1593</v>
      </c>
      <c r="D679" s="2" t="s">
        <v>1175</v>
      </c>
      <c r="I679" s="138"/>
      <c r="J679" s="5" t="s">
        <v>323</v>
      </c>
      <c r="K679" s="5" t="s">
        <v>330</v>
      </c>
      <c r="L679" s="5"/>
      <c r="O679"/>
      <c r="P679"/>
    </row>
    <row r="680" spans="1:16" ht="30" hidden="1" customHeight="1">
      <c r="A680" s="2" t="s">
        <v>239</v>
      </c>
      <c r="B680" s="102" t="s">
        <v>336</v>
      </c>
      <c r="C680" s="2" t="s">
        <v>1594</v>
      </c>
      <c r="D680" s="2" t="s">
        <v>1177</v>
      </c>
      <c r="F680" s="129">
        <v>1</v>
      </c>
      <c r="H680" s="138">
        <v>302</v>
      </c>
      <c r="I680" s="138"/>
      <c r="J680" s="5" t="s">
        <v>323</v>
      </c>
      <c r="K680" s="5" t="s">
        <v>328</v>
      </c>
      <c r="L680" s="5"/>
      <c r="M680" s="5" t="s">
        <v>1151</v>
      </c>
      <c r="N680" s="11" t="s">
        <v>1178</v>
      </c>
      <c r="O680" t="s">
        <v>479</v>
      </c>
      <c r="P680"/>
    </row>
    <row r="681" spans="1:16" ht="15" hidden="1" customHeight="1">
      <c r="A681" s="2" t="s">
        <v>239</v>
      </c>
      <c r="B681" s="102" t="s">
        <v>336</v>
      </c>
      <c r="C681" s="2" t="s">
        <v>1595</v>
      </c>
      <c r="D681" s="2" t="s">
        <v>394</v>
      </c>
      <c r="H681" s="138">
        <v>46</v>
      </c>
      <c r="I681" s="138"/>
      <c r="J681" s="5" t="s">
        <v>323</v>
      </c>
      <c r="K681" s="5" t="s">
        <v>328</v>
      </c>
      <c r="L681" s="5"/>
      <c r="M681" s="5" t="s">
        <v>385</v>
      </c>
      <c r="N681" s="11" t="s">
        <v>1180</v>
      </c>
      <c r="O681"/>
      <c r="P681"/>
    </row>
    <row r="682" spans="1:16" ht="15" hidden="1" customHeight="1">
      <c r="A682" s="2" t="s">
        <v>239</v>
      </c>
      <c r="B682" s="102" t="s">
        <v>336</v>
      </c>
      <c r="C682" s="2" t="s">
        <v>1596</v>
      </c>
      <c r="D682" s="2" t="s">
        <v>1182</v>
      </c>
      <c r="F682" s="129">
        <v>1</v>
      </c>
      <c r="H682" s="138">
        <v>43</v>
      </c>
      <c r="I682" s="138"/>
      <c r="J682" s="5" t="s">
        <v>323</v>
      </c>
      <c r="K682" s="5" t="s">
        <v>328</v>
      </c>
      <c r="L682" s="5"/>
      <c r="M682" s="5" t="s">
        <v>478</v>
      </c>
      <c r="N682" s="11" t="s">
        <v>1183</v>
      </c>
      <c r="O682" t="s">
        <v>479</v>
      </c>
      <c r="P682"/>
    </row>
    <row r="683" spans="1:16" ht="25.5" hidden="1" customHeight="1">
      <c r="A683" s="2" t="s">
        <v>239</v>
      </c>
      <c r="B683" s="102" t="s">
        <v>336</v>
      </c>
      <c r="C683" s="2" t="s">
        <v>1597</v>
      </c>
      <c r="D683" s="2" t="s">
        <v>1334</v>
      </c>
      <c r="H683" s="138" t="s">
        <v>1160</v>
      </c>
      <c r="I683" s="138"/>
      <c r="J683" s="5" t="s">
        <v>323</v>
      </c>
      <c r="K683" s="5" t="s">
        <v>328</v>
      </c>
      <c r="L683" s="5"/>
      <c r="M683" s="5" t="s">
        <v>1186</v>
      </c>
      <c r="N683" s="11" t="s">
        <v>1187</v>
      </c>
      <c r="O683"/>
      <c r="P683"/>
    </row>
    <row r="684" spans="1:16" ht="15" hidden="1" customHeight="1">
      <c r="A684" s="2" t="s">
        <v>239</v>
      </c>
      <c r="B684" s="102" t="s">
        <v>336</v>
      </c>
      <c r="C684" s="2" t="s">
        <v>1598</v>
      </c>
      <c r="D684" s="2" t="s">
        <v>1189</v>
      </c>
      <c r="I684" s="138"/>
      <c r="J684" s="5" t="s">
        <v>323</v>
      </c>
      <c r="K684" s="5" t="s">
        <v>329</v>
      </c>
      <c r="L684" s="5" t="s">
        <v>964</v>
      </c>
      <c r="M684" s="5" t="s">
        <v>715</v>
      </c>
      <c r="O684"/>
      <c r="P684"/>
    </row>
    <row r="685" spans="1:16" ht="15" hidden="1" customHeight="1">
      <c r="A685" s="2" t="s">
        <v>239</v>
      </c>
      <c r="B685" s="102" t="s">
        <v>336</v>
      </c>
      <c r="C685" s="2" t="s">
        <v>1599</v>
      </c>
      <c r="D685" s="2" t="s">
        <v>1191</v>
      </c>
      <c r="H685" s="138">
        <v>29</v>
      </c>
      <c r="I685" s="138"/>
      <c r="J685" s="5" t="s">
        <v>323</v>
      </c>
      <c r="K685" s="5" t="s">
        <v>328</v>
      </c>
      <c r="L685" s="5"/>
      <c r="M685" s="5" t="s">
        <v>1151</v>
      </c>
      <c r="O685"/>
      <c r="P685"/>
    </row>
    <row r="686" spans="1:16" ht="25.5" hidden="1" customHeight="1">
      <c r="A686" s="2" t="s">
        <v>239</v>
      </c>
      <c r="B686" s="102" t="s">
        <v>336</v>
      </c>
      <c r="C686" s="2" t="s">
        <v>1600</v>
      </c>
      <c r="D686" s="2" t="s">
        <v>1193</v>
      </c>
      <c r="H686" s="138">
        <v>78</v>
      </c>
      <c r="I686" s="138"/>
      <c r="J686" s="5" t="s">
        <v>323</v>
      </c>
      <c r="K686" s="5" t="s">
        <v>328</v>
      </c>
      <c r="L686" s="5"/>
      <c r="O686"/>
      <c r="P686"/>
    </row>
    <row r="687" spans="1:16" ht="15" hidden="1" customHeight="1">
      <c r="A687" s="2" t="s">
        <v>239</v>
      </c>
      <c r="B687" s="102" t="s">
        <v>336</v>
      </c>
      <c r="C687" s="2" t="s">
        <v>1601</v>
      </c>
      <c r="D687" s="2" t="s">
        <v>1339</v>
      </c>
      <c r="H687" s="138">
        <v>18</v>
      </c>
      <c r="I687" s="138"/>
      <c r="J687" s="5" t="s">
        <v>323</v>
      </c>
      <c r="K687" s="5" t="s">
        <v>328</v>
      </c>
      <c r="L687" s="5"/>
      <c r="O687"/>
      <c r="P687"/>
    </row>
    <row r="688" spans="1:16" ht="15" hidden="1" customHeight="1">
      <c r="A688" s="2" t="s">
        <v>239</v>
      </c>
      <c r="B688" s="102" t="s">
        <v>336</v>
      </c>
      <c r="C688" s="2" t="s">
        <v>1602</v>
      </c>
      <c r="D688" s="2" t="s">
        <v>1341</v>
      </c>
      <c r="H688" s="138" t="s">
        <v>1160</v>
      </c>
      <c r="I688" s="138"/>
      <c r="J688" s="5" t="s">
        <v>323</v>
      </c>
      <c r="K688" s="5" t="s">
        <v>328</v>
      </c>
      <c r="L688" s="5"/>
      <c r="M688" s="5" t="s">
        <v>478</v>
      </c>
      <c r="N688" s="11" t="s">
        <v>1183</v>
      </c>
      <c r="O688"/>
      <c r="P688"/>
    </row>
    <row r="689" spans="1:16" ht="15" hidden="1" customHeight="1">
      <c r="A689" s="2" t="s">
        <v>239</v>
      </c>
      <c r="B689" s="102" t="s">
        <v>336</v>
      </c>
      <c r="C689" s="2" t="s">
        <v>1603</v>
      </c>
      <c r="D689" s="2" t="s">
        <v>1345</v>
      </c>
      <c r="H689" s="138" t="s">
        <v>1160</v>
      </c>
      <c r="I689" s="138"/>
      <c r="J689" s="5" t="s">
        <v>323</v>
      </c>
      <c r="K689" s="5" t="s">
        <v>328</v>
      </c>
      <c r="L689" s="5"/>
      <c r="M689" s="5" t="s">
        <v>478</v>
      </c>
      <c r="N689" s="11" t="s">
        <v>1183</v>
      </c>
      <c r="O689"/>
      <c r="P689"/>
    </row>
    <row r="690" spans="1:16" ht="15" hidden="1" customHeight="1">
      <c r="A690" s="2" t="s">
        <v>239</v>
      </c>
      <c r="B690" s="102" t="s">
        <v>336</v>
      </c>
      <c r="C690" s="2" t="s">
        <v>1604</v>
      </c>
      <c r="D690" s="2" t="s">
        <v>1203</v>
      </c>
      <c r="H690" s="138" t="s">
        <v>1160</v>
      </c>
      <c r="I690" s="138"/>
      <c r="J690" s="5" t="s">
        <v>323</v>
      </c>
      <c r="K690" s="5" t="s">
        <v>328</v>
      </c>
      <c r="L690" s="5"/>
      <c r="M690" s="5" t="s">
        <v>478</v>
      </c>
      <c r="N690" s="11" t="s">
        <v>1183</v>
      </c>
      <c r="O690"/>
      <c r="P690"/>
    </row>
    <row r="691" spans="1:16" ht="15" hidden="1" customHeight="1">
      <c r="A691" s="2" t="s">
        <v>239</v>
      </c>
      <c r="B691" s="102" t="s">
        <v>336</v>
      </c>
      <c r="C691" s="2" t="s">
        <v>1605</v>
      </c>
      <c r="D691" s="2" t="s">
        <v>1205</v>
      </c>
      <c r="H691" s="138" t="s">
        <v>1160</v>
      </c>
      <c r="I691" s="138"/>
      <c r="J691" s="5" t="s">
        <v>323</v>
      </c>
      <c r="K691" s="5" t="s">
        <v>328</v>
      </c>
      <c r="L691" s="5"/>
      <c r="M691" s="5" t="s">
        <v>478</v>
      </c>
      <c r="N691" s="11" t="s">
        <v>1183</v>
      </c>
      <c r="O691"/>
      <c r="P691"/>
    </row>
    <row r="692" spans="1:16" ht="15" hidden="1" customHeight="1">
      <c r="A692" s="2" t="s">
        <v>239</v>
      </c>
      <c r="B692" s="102" t="s">
        <v>336</v>
      </c>
      <c r="C692" s="2" t="s">
        <v>1606</v>
      </c>
      <c r="D692" s="2" t="s">
        <v>1347</v>
      </c>
      <c r="H692" s="138" t="s">
        <v>1160</v>
      </c>
      <c r="I692" s="138"/>
      <c r="J692" s="5" t="s">
        <v>323</v>
      </c>
      <c r="K692" s="5" t="s">
        <v>328</v>
      </c>
      <c r="L692" s="5"/>
      <c r="M692" s="5" t="s">
        <v>478</v>
      </c>
      <c r="N692" s="11" t="s">
        <v>1183</v>
      </c>
      <c r="O692"/>
      <c r="P692"/>
    </row>
    <row r="693" spans="1:16" ht="15" customHeight="1">
      <c r="A693" s="19" t="s">
        <v>239</v>
      </c>
      <c r="B693" s="19" t="s">
        <v>337</v>
      </c>
      <c r="C693" s="19" t="s">
        <v>1607</v>
      </c>
      <c r="D693" s="19" t="s">
        <v>1207</v>
      </c>
      <c r="F693" s="129">
        <v>1</v>
      </c>
      <c r="I693" s="138"/>
      <c r="J693" s="5" t="s">
        <v>323</v>
      </c>
      <c r="K693" s="5" t="s">
        <v>329</v>
      </c>
      <c r="L693" s="5"/>
      <c r="O693" t="s">
        <v>479</v>
      </c>
      <c r="P693"/>
    </row>
    <row r="694" spans="1:16" hidden="1">
      <c r="A694" s="2" t="s">
        <v>272</v>
      </c>
      <c r="B694" s="26" t="s">
        <v>896</v>
      </c>
      <c r="C694" s="2" t="s">
        <v>1608</v>
      </c>
      <c r="D694" s="2" t="s">
        <v>1609</v>
      </c>
      <c r="I694" s="138"/>
      <c r="J694" s="5" t="s">
        <v>323</v>
      </c>
      <c r="K694" s="5" t="s">
        <v>330</v>
      </c>
      <c r="L694" s="5"/>
      <c r="O694"/>
      <c r="P694"/>
    </row>
    <row r="695" spans="1:16" ht="25.5" hidden="1">
      <c r="A695" s="2" t="s">
        <v>272</v>
      </c>
      <c r="B695" s="26" t="s">
        <v>896</v>
      </c>
      <c r="C695" s="2" t="s">
        <v>1610</v>
      </c>
      <c r="D695" s="2" t="s">
        <v>274</v>
      </c>
      <c r="E695" s="21"/>
      <c r="F695" s="129">
        <v>1</v>
      </c>
      <c r="H695" s="138">
        <v>16324</v>
      </c>
      <c r="I695" s="138"/>
      <c r="J695" s="5" t="s">
        <v>323</v>
      </c>
      <c r="K695" s="5" t="s">
        <v>328</v>
      </c>
      <c r="L695" s="5"/>
      <c r="M695" s="5" t="s">
        <v>1611</v>
      </c>
      <c r="N695" s="11" t="s">
        <v>1612</v>
      </c>
      <c r="O695" t="s">
        <v>1613</v>
      </c>
      <c r="P695"/>
    </row>
    <row r="696" spans="1:16" ht="90" hidden="1">
      <c r="A696" s="2" t="s">
        <v>272</v>
      </c>
      <c r="B696" s="26" t="s">
        <v>331</v>
      </c>
      <c r="C696" s="40" t="s">
        <v>1614</v>
      </c>
      <c r="D696" s="2" t="s">
        <v>1615</v>
      </c>
      <c r="E696" s="48" t="s">
        <v>1616</v>
      </c>
      <c r="F696" s="129">
        <v>1</v>
      </c>
      <c r="G696" s="138">
        <v>9397</v>
      </c>
      <c r="H696" s="138">
        <v>10343</v>
      </c>
      <c r="I696" s="140">
        <f>(G696-H696)/G696</f>
        <v>-0.10067042673193573</v>
      </c>
      <c r="J696" s="5" t="s">
        <v>322</v>
      </c>
      <c r="K696" s="5" t="s">
        <v>328</v>
      </c>
      <c r="L696" s="5" t="s">
        <v>1617</v>
      </c>
      <c r="M696" s="5" t="s">
        <v>1611</v>
      </c>
      <c r="N696" s="11" t="s">
        <v>1618</v>
      </c>
      <c r="O696" t="s">
        <v>1619</v>
      </c>
      <c r="P696"/>
    </row>
    <row r="697" spans="1:16" hidden="1">
      <c r="A697" s="2" t="s">
        <v>272</v>
      </c>
      <c r="B697" s="26" t="s">
        <v>896</v>
      </c>
      <c r="C697" s="2" t="s">
        <v>1620</v>
      </c>
      <c r="D697" s="2" t="s">
        <v>1621</v>
      </c>
      <c r="I697" s="138"/>
      <c r="J697" s="5" t="s">
        <v>323</v>
      </c>
      <c r="K697" s="5" t="s">
        <v>328</v>
      </c>
      <c r="L697" s="5"/>
      <c r="N697" s="11" t="s">
        <v>1622</v>
      </c>
      <c r="O697"/>
      <c r="P697"/>
    </row>
    <row r="698" spans="1:16" hidden="1">
      <c r="A698" s="2" t="s">
        <v>272</v>
      </c>
      <c r="B698" s="26" t="s">
        <v>896</v>
      </c>
      <c r="C698" s="2" t="s">
        <v>1623</v>
      </c>
      <c r="D698" s="2" t="s">
        <v>1624</v>
      </c>
      <c r="I698" s="138"/>
      <c r="J698" s="5" t="s">
        <v>323</v>
      </c>
      <c r="K698" s="5" t="s">
        <v>328</v>
      </c>
      <c r="L698" s="5"/>
      <c r="N698" s="11" t="s">
        <v>1622</v>
      </c>
      <c r="O698"/>
      <c r="P698"/>
    </row>
    <row r="699" spans="1:16" ht="25.5" hidden="1">
      <c r="A699" s="2" t="s">
        <v>272</v>
      </c>
      <c r="B699" s="26" t="s">
        <v>896</v>
      </c>
      <c r="C699" s="2" t="s">
        <v>1625</v>
      </c>
      <c r="D699" s="2" t="s">
        <v>1626</v>
      </c>
      <c r="I699" s="138"/>
      <c r="J699" s="5" t="s">
        <v>323</v>
      </c>
      <c r="K699" s="5" t="s">
        <v>328</v>
      </c>
      <c r="L699" s="5"/>
      <c r="N699" s="11" t="s">
        <v>1627</v>
      </c>
      <c r="O699"/>
      <c r="P699"/>
    </row>
    <row r="700" spans="1:16" ht="45" hidden="1">
      <c r="A700" s="2" t="s">
        <v>272</v>
      </c>
      <c r="B700" s="26" t="s">
        <v>331</v>
      </c>
      <c r="C700" s="2" t="s">
        <v>1628</v>
      </c>
      <c r="D700" s="2" t="s">
        <v>1629</v>
      </c>
      <c r="F700" s="129">
        <v>1</v>
      </c>
      <c r="G700" s="138">
        <v>10098</v>
      </c>
      <c r="H700" s="138">
        <f>7975+2131</f>
        <v>10106</v>
      </c>
      <c r="I700" s="140">
        <f>(G700-H700)/G700</f>
        <v>-7.9223608635373339E-4</v>
      </c>
      <c r="J700" s="5" t="s">
        <v>321</v>
      </c>
      <c r="K700" s="5" t="s">
        <v>328</v>
      </c>
      <c r="L700" s="5"/>
      <c r="M700" s="5" t="s">
        <v>1611</v>
      </c>
      <c r="N700" s="36" t="s">
        <v>1630</v>
      </c>
      <c r="O700" t="s">
        <v>1631</v>
      </c>
      <c r="P700"/>
    </row>
    <row r="701" spans="1:16" hidden="1">
      <c r="A701" s="2" t="s">
        <v>272</v>
      </c>
      <c r="B701" s="26" t="s">
        <v>896</v>
      </c>
      <c r="C701" s="2" t="s">
        <v>1632</v>
      </c>
      <c r="D701" s="2" t="s">
        <v>1633</v>
      </c>
      <c r="H701" s="138" t="s">
        <v>1160</v>
      </c>
      <c r="I701" s="138"/>
      <c r="J701" s="5" t="s">
        <v>323</v>
      </c>
      <c r="K701" s="5" t="s">
        <v>328</v>
      </c>
      <c r="L701" s="5"/>
      <c r="M701" s="5" t="s">
        <v>385</v>
      </c>
      <c r="N701" s="11" t="s">
        <v>1634</v>
      </c>
      <c r="O701"/>
      <c r="P701"/>
    </row>
    <row r="702" spans="1:16" hidden="1">
      <c r="A702" s="2" t="s">
        <v>272</v>
      </c>
      <c r="B702" s="26" t="s">
        <v>896</v>
      </c>
      <c r="C702" s="2" t="s">
        <v>1635</v>
      </c>
      <c r="D702" s="2" t="s">
        <v>1636</v>
      </c>
      <c r="I702" s="138"/>
      <c r="J702" s="5" t="s">
        <v>323</v>
      </c>
      <c r="K702" s="5" t="s">
        <v>329</v>
      </c>
      <c r="L702" s="5"/>
      <c r="N702" s="11" t="s">
        <v>964</v>
      </c>
      <c r="O702"/>
      <c r="P702"/>
    </row>
    <row r="703" spans="1:16" hidden="1">
      <c r="A703" s="2" t="s">
        <v>272</v>
      </c>
      <c r="B703" s="26" t="s">
        <v>896</v>
      </c>
      <c r="C703" s="2" t="s">
        <v>1637</v>
      </c>
      <c r="D703" s="2" t="s">
        <v>1638</v>
      </c>
      <c r="F703" s="129">
        <v>1</v>
      </c>
      <c r="I703" s="138"/>
      <c r="J703" s="5" t="s">
        <v>323</v>
      </c>
      <c r="K703" s="5" t="s">
        <v>329</v>
      </c>
      <c r="L703" s="5"/>
      <c r="N703" s="11" t="s">
        <v>964</v>
      </c>
      <c r="O703" t="s">
        <v>479</v>
      </c>
      <c r="P703"/>
    </row>
    <row r="704" spans="1:16" hidden="1">
      <c r="A704" s="2" t="s">
        <v>272</v>
      </c>
      <c r="B704" s="26" t="s">
        <v>896</v>
      </c>
      <c r="C704" s="2" t="s">
        <v>1639</v>
      </c>
      <c r="D704" s="2" t="s">
        <v>1640</v>
      </c>
      <c r="I704" s="138"/>
      <c r="J704" s="5" t="s">
        <v>323</v>
      </c>
      <c r="K704" s="5" t="s">
        <v>329</v>
      </c>
      <c r="L704" s="5"/>
      <c r="N704" s="11" t="s">
        <v>964</v>
      </c>
      <c r="O704"/>
      <c r="P704"/>
    </row>
    <row r="705" spans="1:16" hidden="1">
      <c r="A705" s="2" t="s">
        <v>272</v>
      </c>
      <c r="B705" s="26" t="s">
        <v>896</v>
      </c>
      <c r="C705" s="2" t="s">
        <v>1641</v>
      </c>
      <c r="D705" s="2" t="s">
        <v>1642</v>
      </c>
      <c r="I705" s="138"/>
      <c r="J705" s="5" t="s">
        <v>323</v>
      </c>
      <c r="K705" s="5" t="s">
        <v>329</v>
      </c>
      <c r="L705" s="5"/>
      <c r="N705" s="11" t="s">
        <v>964</v>
      </c>
      <c r="O705"/>
      <c r="P705"/>
    </row>
    <row r="706" spans="1:16" hidden="1">
      <c r="A706" s="2" t="s">
        <v>272</v>
      </c>
      <c r="B706" s="26" t="s">
        <v>896</v>
      </c>
      <c r="C706" s="2" t="s">
        <v>1643</v>
      </c>
      <c r="D706" s="2" t="s">
        <v>1644</v>
      </c>
      <c r="I706" s="138"/>
      <c r="J706" s="5" t="s">
        <v>323</v>
      </c>
      <c r="K706" s="5" t="s">
        <v>330</v>
      </c>
      <c r="L706" s="5"/>
      <c r="N706" s="11" t="s">
        <v>964</v>
      </c>
      <c r="O706"/>
      <c r="P706"/>
    </row>
    <row r="707" spans="1:16" ht="30" hidden="1">
      <c r="A707" s="2" t="s">
        <v>272</v>
      </c>
      <c r="B707" s="26" t="s">
        <v>896</v>
      </c>
      <c r="C707" s="2" t="s">
        <v>1645</v>
      </c>
      <c r="D707" s="2" t="s">
        <v>1646</v>
      </c>
      <c r="G707" s="138">
        <v>7968</v>
      </c>
      <c r="H707" s="138">
        <v>7975</v>
      </c>
      <c r="I707" s="140">
        <f>(G707-H707)/G707</f>
        <v>-8.7851405622489957E-4</v>
      </c>
      <c r="J707" s="5" t="s">
        <v>321</v>
      </c>
      <c r="K707" s="5" t="s">
        <v>328</v>
      </c>
      <c r="L707" s="5"/>
      <c r="M707" s="5" t="s">
        <v>1611</v>
      </c>
      <c r="N707" s="36" t="s">
        <v>1647</v>
      </c>
      <c r="O707"/>
      <c r="P707"/>
    </row>
    <row r="708" spans="1:16" hidden="1">
      <c r="A708" s="2" t="s">
        <v>272</v>
      </c>
      <c r="B708" s="26" t="s">
        <v>896</v>
      </c>
      <c r="C708" s="2" t="s">
        <v>1648</v>
      </c>
      <c r="D708" s="2" t="s">
        <v>1649</v>
      </c>
      <c r="I708" s="138"/>
      <c r="J708" s="5" t="s">
        <v>323</v>
      </c>
      <c r="K708" s="5" t="s">
        <v>330</v>
      </c>
      <c r="L708" s="5"/>
      <c r="N708" s="11" t="s">
        <v>857</v>
      </c>
      <c r="O708"/>
      <c r="P708"/>
    </row>
    <row r="709" spans="1:16" hidden="1">
      <c r="A709" s="2" t="s">
        <v>272</v>
      </c>
      <c r="B709" s="26" t="s">
        <v>896</v>
      </c>
      <c r="C709" s="2" t="s">
        <v>1650</v>
      </c>
      <c r="D709" s="2" t="s">
        <v>851</v>
      </c>
      <c r="I709" s="138"/>
      <c r="J709" s="5" t="s">
        <v>323</v>
      </c>
      <c r="K709" s="5" t="s">
        <v>329</v>
      </c>
      <c r="L709" s="5"/>
      <c r="N709" s="11" t="s">
        <v>1651</v>
      </c>
      <c r="O709"/>
      <c r="P709"/>
    </row>
    <row r="710" spans="1:16" hidden="1">
      <c r="A710" s="2" t="s">
        <v>272</v>
      </c>
      <c r="B710" s="26" t="s">
        <v>896</v>
      </c>
      <c r="C710" s="2" t="s">
        <v>1652</v>
      </c>
      <c r="D710" s="2" t="s">
        <v>963</v>
      </c>
      <c r="F710" s="129">
        <v>1</v>
      </c>
      <c r="I710" s="138"/>
      <c r="J710" s="5" t="s">
        <v>323</v>
      </c>
      <c r="K710" s="5" t="s">
        <v>329</v>
      </c>
      <c r="L710" s="5"/>
      <c r="N710" s="36" t="s">
        <v>1653</v>
      </c>
      <c r="O710" t="s">
        <v>1654</v>
      </c>
      <c r="P710"/>
    </row>
    <row r="711" spans="1:16" ht="25.5" hidden="1">
      <c r="A711" s="2" t="s">
        <v>272</v>
      </c>
      <c r="B711" s="26" t="s">
        <v>896</v>
      </c>
      <c r="C711" s="2" t="s">
        <v>1655</v>
      </c>
      <c r="D711" s="2" t="s">
        <v>31</v>
      </c>
      <c r="G711" s="138">
        <v>7968</v>
      </c>
      <c r="H711" s="138">
        <v>7975</v>
      </c>
      <c r="I711" s="140">
        <f>(G711-H711)/G711</f>
        <v>-8.7851405622489957E-4</v>
      </c>
      <c r="J711" s="5" t="s">
        <v>321</v>
      </c>
      <c r="K711" s="5" t="s">
        <v>328</v>
      </c>
      <c r="L711" s="5"/>
      <c r="M711" s="5" t="s">
        <v>1611</v>
      </c>
      <c r="N711" s="11" t="s">
        <v>1656</v>
      </c>
      <c r="O711"/>
      <c r="P711"/>
    </row>
    <row r="712" spans="1:16" ht="30" hidden="1">
      <c r="A712" s="2" t="s">
        <v>272</v>
      </c>
      <c r="B712" s="26" t="s">
        <v>896</v>
      </c>
      <c r="C712" s="2" t="s">
        <v>1657</v>
      </c>
      <c r="D712" s="2" t="s">
        <v>283</v>
      </c>
      <c r="I712" s="138"/>
      <c r="J712" s="5" t="s">
        <v>323</v>
      </c>
      <c r="K712" s="5" t="s">
        <v>329</v>
      </c>
      <c r="L712" s="5"/>
      <c r="N712" s="11" t="s">
        <v>1658</v>
      </c>
      <c r="O712"/>
      <c r="P712"/>
    </row>
    <row r="713" spans="1:16" ht="25.5" hidden="1">
      <c r="A713" s="2" t="s">
        <v>272</v>
      </c>
      <c r="B713" s="26" t="s">
        <v>896</v>
      </c>
      <c r="C713" s="2" t="s">
        <v>1659</v>
      </c>
      <c r="D713" s="2" t="s">
        <v>1660</v>
      </c>
      <c r="F713" s="129">
        <v>1</v>
      </c>
      <c r="I713" s="138"/>
      <c r="J713" s="5" t="s">
        <v>323</v>
      </c>
      <c r="K713" s="5" t="s">
        <v>329</v>
      </c>
      <c r="L713" s="5"/>
      <c r="N713" s="11" t="s">
        <v>964</v>
      </c>
      <c r="O713" t="s">
        <v>479</v>
      </c>
      <c r="P713"/>
    </row>
    <row r="714" spans="1:16" hidden="1">
      <c r="A714" s="2" t="s">
        <v>272</v>
      </c>
      <c r="B714" s="26" t="s">
        <v>896</v>
      </c>
      <c r="C714" s="2" t="s">
        <v>1661</v>
      </c>
      <c r="D714" s="2" t="s">
        <v>1662</v>
      </c>
      <c r="I714" s="138"/>
      <c r="J714" s="5" t="s">
        <v>323</v>
      </c>
      <c r="K714" s="5" t="s">
        <v>329</v>
      </c>
      <c r="L714" s="5"/>
      <c r="N714" s="11" t="s">
        <v>964</v>
      </c>
      <c r="O714"/>
      <c r="P714"/>
    </row>
    <row r="715" spans="1:16" hidden="1">
      <c r="A715" s="2" t="s">
        <v>272</v>
      </c>
      <c r="B715" s="26" t="s">
        <v>896</v>
      </c>
      <c r="C715" s="2" t="s">
        <v>1663</v>
      </c>
      <c r="D715" s="2" t="s">
        <v>1664</v>
      </c>
      <c r="I715" s="138"/>
      <c r="J715" s="5" t="s">
        <v>323</v>
      </c>
      <c r="K715" s="5" t="s">
        <v>330</v>
      </c>
      <c r="L715" s="5"/>
      <c r="N715" s="11" t="s">
        <v>964</v>
      </c>
      <c r="O715"/>
      <c r="P715"/>
    </row>
    <row r="716" spans="1:16" hidden="1">
      <c r="A716" s="2" t="s">
        <v>272</v>
      </c>
      <c r="B716" s="2" t="s">
        <v>332</v>
      </c>
      <c r="C716" s="2" t="s">
        <v>1665</v>
      </c>
      <c r="D716" s="2" t="s">
        <v>1666</v>
      </c>
      <c r="I716" s="138"/>
      <c r="J716" s="5" t="s">
        <v>323</v>
      </c>
      <c r="K716" s="5" t="s">
        <v>329</v>
      </c>
      <c r="L716" s="5"/>
      <c r="N716" s="11" t="s">
        <v>1667</v>
      </c>
      <c r="O716"/>
      <c r="P716"/>
    </row>
    <row r="717" spans="1:16" hidden="1">
      <c r="A717" s="2" t="s">
        <v>272</v>
      </c>
      <c r="B717" s="2" t="s">
        <v>332</v>
      </c>
      <c r="C717" s="2" t="s">
        <v>1668</v>
      </c>
      <c r="D717" s="2" t="s">
        <v>1669</v>
      </c>
      <c r="I717" s="138"/>
      <c r="J717" s="5" t="s">
        <v>323</v>
      </c>
      <c r="K717" s="5" t="s">
        <v>330</v>
      </c>
      <c r="L717" s="5"/>
      <c r="O717"/>
      <c r="P717"/>
    </row>
    <row r="718" spans="1:16" ht="25.5" hidden="1">
      <c r="A718" s="2" t="s">
        <v>272</v>
      </c>
      <c r="B718" s="2" t="s">
        <v>332</v>
      </c>
      <c r="C718" s="40" t="s">
        <v>640</v>
      </c>
      <c r="D718" s="2" t="s">
        <v>1154</v>
      </c>
      <c r="F718" s="129">
        <v>1</v>
      </c>
      <c r="G718" s="138">
        <v>5333</v>
      </c>
      <c r="H718" s="138">
        <v>5273</v>
      </c>
      <c r="I718" s="140">
        <f>(G718-H718)/G718</f>
        <v>1.1250703168948059E-2</v>
      </c>
      <c r="J718" s="5" t="s">
        <v>321</v>
      </c>
      <c r="K718" s="5" t="s">
        <v>328</v>
      </c>
      <c r="L718" s="5"/>
      <c r="M718" s="5" t="s">
        <v>1611</v>
      </c>
      <c r="N718" s="11" t="s">
        <v>1670</v>
      </c>
      <c r="O718" t="s">
        <v>1671</v>
      </c>
      <c r="P718"/>
    </row>
    <row r="719" spans="1:16" ht="25.5" hidden="1">
      <c r="A719" s="2" t="s">
        <v>272</v>
      </c>
      <c r="B719" s="2" t="s">
        <v>332</v>
      </c>
      <c r="C719" s="2" t="s">
        <v>1672</v>
      </c>
      <c r="D719" s="2" t="s">
        <v>1673</v>
      </c>
      <c r="F719" s="129">
        <v>1</v>
      </c>
      <c r="G719" s="138">
        <v>22</v>
      </c>
      <c r="H719" s="138">
        <v>22</v>
      </c>
      <c r="I719" s="138"/>
      <c r="J719" s="5" t="s">
        <v>323</v>
      </c>
      <c r="K719" s="5" t="s">
        <v>328</v>
      </c>
      <c r="L719" s="5"/>
      <c r="M719" s="5" t="s">
        <v>1611</v>
      </c>
      <c r="N719" s="11" t="s">
        <v>1674</v>
      </c>
      <c r="O719" t="s">
        <v>479</v>
      </c>
      <c r="P719"/>
    </row>
    <row r="720" spans="1:16" hidden="1">
      <c r="A720" s="2" t="s">
        <v>272</v>
      </c>
      <c r="B720" s="2" t="s">
        <v>332</v>
      </c>
      <c r="C720" s="2" t="s">
        <v>1675</v>
      </c>
      <c r="D720" s="2" t="s">
        <v>73</v>
      </c>
      <c r="F720" s="129">
        <v>1</v>
      </c>
      <c r="I720" s="138"/>
      <c r="J720" s="5" t="s">
        <v>323</v>
      </c>
      <c r="K720" s="5" t="s">
        <v>329</v>
      </c>
      <c r="L720" s="5"/>
      <c r="N720" s="11" t="s">
        <v>964</v>
      </c>
      <c r="O720" t="s">
        <v>479</v>
      </c>
      <c r="P720"/>
    </row>
    <row r="721" spans="1:16" ht="25.5" hidden="1">
      <c r="A721" s="2" t="s">
        <v>272</v>
      </c>
      <c r="B721" s="2" t="s">
        <v>332</v>
      </c>
      <c r="C721" s="2" t="s">
        <v>1676</v>
      </c>
      <c r="D721" s="2" t="s">
        <v>1677</v>
      </c>
      <c r="F721" s="129">
        <v>1</v>
      </c>
      <c r="I721" s="138"/>
      <c r="J721" s="5" t="s">
        <v>323</v>
      </c>
      <c r="K721" s="5" t="s">
        <v>329</v>
      </c>
      <c r="L721" s="5"/>
      <c r="N721" s="11" t="s">
        <v>964</v>
      </c>
      <c r="O721" t="s">
        <v>479</v>
      </c>
      <c r="P721"/>
    </row>
    <row r="722" spans="1:16" ht="25.5" hidden="1">
      <c r="A722" s="2" t="s">
        <v>272</v>
      </c>
      <c r="B722" s="2" t="s">
        <v>332</v>
      </c>
      <c r="C722" s="2" t="s">
        <v>1678</v>
      </c>
      <c r="D722" s="2" t="s">
        <v>1679</v>
      </c>
      <c r="I722" s="138"/>
      <c r="J722" s="5" t="s">
        <v>323</v>
      </c>
      <c r="K722" s="5" t="s">
        <v>329</v>
      </c>
      <c r="L722" s="5"/>
      <c r="N722" s="11" t="s">
        <v>964</v>
      </c>
      <c r="O722"/>
      <c r="P722"/>
    </row>
    <row r="723" spans="1:16" hidden="1">
      <c r="A723" s="2" t="s">
        <v>272</v>
      </c>
      <c r="B723" s="2" t="s">
        <v>332</v>
      </c>
      <c r="C723" s="2" t="s">
        <v>1680</v>
      </c>
      <c r="D723" s="2" t="s">
        <v>1681</v>
      </c>
      <c r="I723" s="138"/>
      <c r="J723" s="5" t="s">
        <v>323</v>
      </c>
      <c r="K723" s="5" t="s">
        <v>329</v>
      </c>
      <c r="L723" s="5"/>
      <c r="N723" s="11" t="s">
        <v>964</v>
      </c>
      <c r="O723"/>
      <c r="P723"/>
    </row>
    <row r="724" spans="1:16" ht="25.5" hidden="1">
      <c r="A724" s="2" t="s">
        <v>272</v>
      </c>
      <c r="B724" s="2" t="s">
        <v>332</v>
      </c>
      <c r="C724" s="2" t="s">
        <v>1682</v>
      </c>
      <c r="D724" s="2" t="s">
        <v>300</v>
      </c>
      <c r="F724" s="129">
        <v>1</v>
      </c>
      <c r="G724" s="138">
        <v>2130</v>
      </c>
      <c r="H724" s="138">
        <v>2131</v>
      </c>
      <c r="I724" s="140">
        <f>(G724-H724)/G724</f>
        <v>-4.6948356807511736E-4</v>
      </c>
      <c r="J724" s="5" t="s">
        <v>321</v>
      </c>
      <c r="K724" s="5" t="s">
        <v>328</v>
      </c>
      <c r="L724" s="5"/>
      <c r="M724" s="5" t="s">
        <v>1611</v>
      </c>
      <c r="N724" s="36" t="s">
        <v>1683</v>
      </c>
      <c r="O724" t="s">
        <v>1684</v>
      </c>
      <c r="P724"/>
    </row>
    <row r="725" spans="1:16" hidden="1">
      <c r="A725" s="2" t="s">
        <v>272</v>
      </c>
      <c r="B725" s="2" t="s">
        <v>332</v>
      </c>
      <c r="C725" s="2" t="s">
        <v>1685</v>
      </c>
      <c r="D725" s="2" t="s">
        <v>851</v>
      </c>
      <c r="I725" s="138"/>
      <c r="J725" s="5" t="s">
        <v>323</v>
      </c>
      <c r="K725" s="5" t="s">
        <v>329</v>
      </c>
      <c r="L725" s="5"/>
      <c r="N725" s="11" t="s">
        <v>964</v>
      </c>
      <c r="O725"/>
      <c r="P725"/>
    </row>
    <row r="726" spans="1:16" hidden="1">
      <c r="A726" s="2" t="s">
        <v>272</v>
      </c>
      <c r="B726" s="2" t="s">
        <v>332</v>
      </c>
      <c r="C726" s="2" t="s">
        <v>1686</v>
      </c>
      <c r="D726" s="2" t="s">
        <v>1687</v>
      </c>
      <c r="I726" s="138"/>
      <c r="J726" s="5" t="s">
        <v>323</v>
      </c>
      <c r="K726" s="5" t="s">
        <v>329</v>
      </c>
      <c r="L726" s="5"/>
      <c r="N726" s="11" t="s">
        <v>964</v>
      </c>
      <c r="O726"/>
      <c r="P726"/>
    </row>
    <row r="727" spans="1:16" ht="25.5" hidden="1">
      <c r="A727" s="2" t="s">
        <v>272</v>
      </c>
      <c r="B727" s="2" t="s">
        <v>332</v>
      </c>
      <c r="C727" s="2" t="s">
        <v>1688</v>
      </c>
      <c r="D727" s="2" t="s">
        <v>1689</v>
      </c>
      <c r="I727" s="138"/>
      <c r="J727" s="5" t="s">
        <v>323</v>
      </c>
      <c r="K727" s="5" t="s">
        <v>329</v>
      </c>
      <c r="L727" s="5"/>
      <c r="N727" s="11" t="s">
        <v>964</v>
      </c>
      <c r="O727"/>
      <c r="P727"/>
    </row>
    <row r="728" spans="1:16" hidden="1">
      <c r="A728" s="2" t="s">
        <v>272</v>
      </c>
      <c r="B728" s="2" t="s">
        <v>332</v>
      </c>
      <c r="C728" s="2" t="s">
        <v>1690</v>
      </c>
      <c r="D728" s="2" t="s">
        <v>1691</v>
      </c>
      <c r="I728" s="138"/>
      <c r="J728" s="5" t="s">
        <v>323</v>
      </c>
      <c r="K728" s="5" t="s">
        <v>329</v>
      </c>
      <c r="L728" s="5"/>
      <c r="N728" s="11" t="s">
        <v>1692</v>
      </c>
      <c r="O728"/>
      <c r="P728"/>
    </row>
    <row r="729" spans="1:16" ht="30" hidden="1">
      <c r="A729" s="2" t="s">
        <v>272</v>
      </c>
      <c r="B729" s="2" t="s">
        <v>332</v>
      </c>
      <c r="C729" s="2" t="s">
        <v>1693</v>
      </c>
      <c r="D729" s="2" t="s">
        <v>1694</v>
      </c>
      <c r="F729" s="129">
        <v>1</v>
      </c>
      <c r="G729" s="138">
        <f>G724+G711</f>
        <v>10098</v>
      </c>
      <c r="H729" s="138">
        <f>H724+H711</f>
        <v>10106</v>
      </c>
      <c r="I729" s="138"/>
      <c r="J729" s="5" t="s">
        <v>323</v>
      </c>
      <c r="K729" s="5" t="s">
        <v>328</v>
      </c>
      <c r="L729" s="5"/>
      <c r="M729" s="5" t="s">
        <v>1611</v>
      </c>
      <c r="N729" s="36" t="s">
        <v>1695</v>
      </c>
      <c r="O729" t="s">
        <v>1696</v>
      </c>
      <c r="P729"/>
    </row>
    <row r="730" spans="1:16" hidden="1">
      <c r="A730" s="2" t="s">
        <v>272</v>
      </c>
      <c r="B730" s="2" t="s">
        <v>332</v>
      </c>
      <c r="C730" s="2" t="s">
        <v>1697</v>
      </c>
      <c r="D730" s="2" t="s">
        <v>1698</v>
      </c>
      <c r="I730" s="138"/>
      <c r="J730" s="5" t="s">
        <v>323</v>
      </c>
      <c r="K730" s="5" t="s">
        <v>329</v>
      </c>
      <c r="L730" s="5"/>
      <c r="N730" s="11" t="s">
        <v>964</v>
      </c>
      <c r="O730"/>
      <c r="P730"/>
    </row>
    <row r="731" spans="1:16" hidden="1">
      <c r="A731" s="2" t="s">
        <v>272</v>
      </c>
      <c r="B731" s="2" t="s">
        <v>332</v>
      </c>
      <c r="C731" s="2" t="s">
        <v>1699</v>
      </c>
      <c r="D731" s="2" t="s">
        <v>1700</v>
      </c>
      <c r="I731" s="138"/>
      <c r="J731" s="5" t="s">
        <v>323</v>
      </c>
      <c r="K731" s="5" t="s">
        <v>328</v>
      </c>
      <c r="L731" s="5"/>
      <c r="N731" s="11" t="s">
        <v>964</v>
      </c>
      <c r="O731"/>
      <c r="P731"/>
    </row>
    <row r="732" spans="1:16" hidden="1">
      <c r="A732" s="2" t="s">
        <v>272</v>
      </c>
      <c r="B732" s="2" t="s">
        <v>332</v>
      </c>
      <c r="C732" s="2" t="s">
        <v>1701</v>
      </c>
      <c r="D732" s="2" t="s">
        <v>1702</v>
      </c>
      <c r="I732" s="138"/>
      <c r="J732" s="5" t="s">
        <v>323</v>
      </c>
      <c r="K732" s="5" t="s">
        <v>329</v>
      </c>
      <c r="L732" s="5"/>
      <c r="N732" s="11" t="s">
        <v>964</v>
      </c>
      <c r="O732"/>
      <c r="P732"/>
    </row>
    <row r="733" spans="1:16" hidden="1">
      <c r="A733" s="2" t="s">
        <v>272</v>
      </c>
      <c r="B733" s="2" t="s">
        <v>332</v>
      </c>
      <c r="C733" s="2" t="s">
        <v>1703</v>
      </c>
      <c r="D733" s="2" t="s">
        <v>1704</v>
      </c>
      <c r="I733" s="138"/>
      <c r="J733" s="5" t="s">
        <v>323</v>
      </c>
      <c r="K733" s="5" t="s">
        <v>330</v>
      </c>
      <c r="L733" s="5"/>
      <c r="N733" s="11" t="s">
        <v>964</v>
      </c>
      <c r="O733"/>
      <c r="P733"/>
    </row>
    <row r="734" spans="1:16" hidden="1">
      <c r="A734" s="2" t="s">
        <v>272</v>
      </c>
      <c r="B734" s="2" t="s">
        <v>332</v>
      </c>
      <c r="C734" s="2" t="s">
        <v>1705</v>
      </c>
      <c r="D734" s="2" t="s">
        <v>1706</v>
      </c>
      <c r="I734" s="138"/>
      <c r="J734" s="5" t="s">
        <v>323</v>
      </c>
      <c r="K734" s="5" t="s">
        <v>329</v>
      </c>
      <c r="L734" s="5"/>
      <c r="N734" s="11" t="s">
        <v>964</v>
      </c>
      <c r="O734"/>
      <c r="P734"/>
    </row>
    <row r="735" spans="1:16" hidden="1">
      <c r="A735" s="2" t="s">
        <v>272</v>
      </c>
      <c r="B735" s="26" t="s">
        <v>333</v>
      </c>
      <c r="C735" s="2" t="s">
        <v>1707</v>
      </c>
      <c r="D735" s="2" t="s">
        <v>1708</v>
      </c>
      <c r="I735" s="138"/>
      <c r="J735" s="5" t="s">
        <v>323</v>
      </c>
      <c r="K735" s="5" t="s">
        <v>330</v>
      </c>
      <c r="L735" s="5"/>
      <c r="N735" s="11" t="s">
        <v>964</v>
      </c>
      <c r="O735"/>
      <c r="P735"/>
    </row>
    <row r="736" spans="1:16" hidden="1">
      <c r="A736" s="2" t="s">
        <v>272</v>
      </c>
      <c r="B736" s="26" t="s">
        <v>333</v>
      </c>
      <c r="C736" s="2" t="s">
        <v>1709</v>
      </c>
      <c r="D736" s="2" t="s">
        <v>1710</v>
      </c>
      <c r="F736" s="129">
        <v>1</v>
      </c>
      <c r="I736" s="138"/>
      <c r="J736" s="5" t="s">
        <v>323</v>
      </c>
      <c r="K736" s="5" t="s">
        <v>329</v>
      </c>
      <c r="L736" s="5"/>
      <c r="N736" s="11" t="s">
        <v>964</v>
      </c>
      <c r="O736" t="s">
        <v>479</v>
      </c>
      <c r="P736"/>
    </row>
    <row r="737" spans="1:16" hidden="1">
      <c r="A737" s="2" t="s">
        <v>272</v>
      </c>
      <c r="B737" s="26" t="s">
        <v>333</v>
      </c>
      <c r="C737" s="2" t="s">
        <v>1711</v>
      </c>
      <c r="D737" s="2" t="s">
        <v>1712</v>
      </c>
      <c r="I737" s="138"/>
      <c r="J737" s="5" t="s">
        <v>323</v>
      </c>
      <c r="K737" s="5" t="s">
        <v>329</v>
      </c>
      <c r="L737" s="5"/>
      <c r="N737" s="11" t="s">
        <v>964</v>
      </c>
      <c r="O737"/>
      <c r="P737"/>
    </row>
    <row r="738" spans="1:16" hidden="1">
      <c r="A738" s="2" t="s">
        <v>272</v>
      </c>
      <c r="B738" s="26" t="s">
        <v>333</v>
      </c>
      <c r="C738" s="2" t="s">
        <v>1713</v>
      </c>
      <c r="D738" s="2" t="s">
        <v>1714</v>
      </c>
      <c r="F738" s="129">
        <v>1</v>
      </c>
      <c r="I738" s="138"/>
      <c r="J738" s="5" t="s">
        <v>323</v>
      </c>
      <c r="K738" s="5" t="s">
        <v>329</v>
      </c>
      <c r="L738" s="5"/>
      <c r="N738" s="11" t="s">
        <v>964</v>
      </c>
      <c r="O738" t="s">
        <v>479</v>
      </c>
      <c r="P738"/>
    </row>
    <row r="739" spans="1:16" ht="25.5" hidden="1">
      <c r="A739" s="2" t="s">
        <v>272</v>
      </c>
      <c r="B739" s="26" t="s">
        <v>333</v>
      </c>
      <c r="C739" s="2" t="s">
        <v>1715</v>
      </c>
      <c r="D739" s="2" t="s">
        <v>1716</v>
      </c>
      <c r="I739" s="138"/>
      <c r="J739" s="5" t="s">
        <v>323</v>
      </c>
      <c r="K739" s="5" t="s">
        <v>329</v>
      </c>
      <c r="L739" s="5"/>
      <c r="N739" s="11" t="s">
        <v>964</v>
      </c>
      <c r="O739"/>
      <c r="P739"/>
    </row>
    <row r="740" spans="1:16" hidden="1">
      <c r="A740" s="2" t="s">
        <v>272</v>
      </c>
      <c r="B740" s="26" t="s">
        <v>333</v>
      </c>
      <c r="C740" s="2" t="s">
        <v>1717</v>
      </c>
      <c r="D740" s="2" t="s">
        <v>1718</v>
      </c>
      <c r="F740" s="129">
        <v>1</v>
      </c>
      <c r="I740" s="138"/>
      <c r="J740" s="5" t="s">
        <v>323</v>
      </c>
      <c r="K740" s="5" t="s">
        <v>329</v>
      </c>
      <c r="L740" s="5"/>
      <c r="N740" s="11" t="s">
        <v>964</v>
      </c>
      <c r="O740" t="s">
        <v>479</v>
      </c>
      <c r="P740"/>
    </row>
    <row r="741" spans="1:16" hidden="1">
      <c r="A741" s="2" t="s">
        <v>272</v>
      </c>
      <c r="B741" s="26" t="s">
        <v>333</v>
      </c>
      <c r="C741" s="2" t="s">
        <v>1719</v>
      </c>
      <c r="D741" s="2" t="s">
        <v>1720</v>
      </c>
      <c r="I741" s="138"/>
      <c r="J741" s="5" t="s">
        <v>323</v>
      </c>
      <c r="K741" s="5" t="s">
        <v>329</v>
      </c>
      <c r="L741" s="5"/>
      <c r="N741" s="11" t="s">
        <v>964</v>
      </c>
      <c r="O741"/>
      <c r="P741"/>
    </row>
    <row r="742" spans="1:16" hidden="1">
      <c r="A742" s="2" t="s">
        <v>272</v>
      </c>
      <c r="B742" s="26" t="s">
        <v>333</v>
      </c>
      <c r="C742" s="2" t="s">
        <v>1721</v>
      </c>
      <c r="D742" s="2" t="s">
        <v>1722</v>
      </c>
      <c r="I742" s="138"/>
      <c r="J742" s="5" t="s">
        <v>323</v>
      </c>
      <c r="K742" s="5" t="s">
        <v>329</v>
      </c>
      <c r="L742" s="5"/>
      <c r="N742" s="11" t="s">
        <v>964</v>
      </c>
      <c r="O742"/>
      <c r="P742"/>
    </row>
    <row r="743" spans="1:16" hidden="1">
      <c r="A743" s="2" t="s">
        <v>272</v>
      </c>
      <c r="B743" s="26" t="s">
        <v>1068</v>
      </c>
      <c r="C743" s="2" t="s">
        <v>1723</v>
      </c>
      <c r="D743" s="2" t="s">
        <v>1070</v>
      </c>
      <c r="I743" s="138"/>
      <c r="J743" s="5" t="s">
        <v>323</v>
      </c>
      <c r="K743" s="5" t="s">
        <v>329</v>
      </c>
      <c r="L743" s="5"/>
      <c r="N743" s="11" t="s">
        <v>964</v>
      </c>
      <c r="O743"/>
      <c r="P743"/>
    </row>
    <row r="744" spans="1:16" hidden="1">
      <c r="A744" s="2" t="s">
        <v>272</v>
      </c>
      <c r="B744" s="26" t="s">
        <v>1068</v>
      </c>
      <c r="C744" s="2" t="s">
        <v>1724</v>
      </c>
      <c r="D744" s="2" t="s">
        <v>1725</v>
      </c>
      <c r="F744" s="129">
        <v>1</v>
      </c>
      <c r="I744" s="138"/>
      <c r="J744" s="5" t="s">
        <v>323</v>
      </c>
      <c r="K744" s="5" t="s">
        <v>329</v>
      </c>
      <c r="L744" s="5"/>
      <c r="N744" s="11" t="s">
        <v>964</v>
      </c>
      <c r="O744" t="s">
        <v>479</v>
      </c>
      <c r="P744"/>
    </row>
    <row r="745" spans="1:16" hidden="1">
      <c r="A745" s="2" t="s">
        <v>272</v>
      </c>
      <c r="B745" s="26" t="s">
        <v>1068</v>
      </c>
      <c r="C745" s="2" t="s">
        <v>1726</v>
      </c>
      <c r="D745" s="2" t="s">
        <v>1727</v>
      </c>
      <c r="F745" s="129">
        <v>1</v>
      </c>
      <c r="I745" s="138"/>
      <c r="J745" s="5" t="s">
        <v>323</v>
      </c>
      <c r="K745" s="5" t="s">
        <v>329</v>
      </c>
      <c r="L745" s="5"/>
      <c r="N745" s="11" t="s">
        <v>1728</v>
      </c>
      <c r="O745" t="s">
        <v>479</v>
      </c>
      <c r="P745"/>
    </row>
    <row r="746" spans="1:16" hidden="1">
      <c r="A746" s="2" t="s">
        <v>272</v>
      </c>
      <c r="B746" s="26" t="s">
        <v>1068</v>
      </c>
      <c r="C746" s="2" t="s">
        <v>1729</v>
      </c>
      <c r="D746" s="2" t="s">
        <v>1730</v>
      </c>
      <c r="I746" s="138"/>
      <c r="J746" s="5" t="s">
        <v>323</v>
      </c>
      <c r="K746" s="5" t="s">
        <v>329</v>
      </c>
      <c r="L746" s="5"/>
      <c r="N746" s="11" t="s">
        <v>964</v>
      </c>
      <c r="O746"/>
      <c r="P746"/>
    </row>
    <row r="747" spans="1:16" hidden="1">
      <c r="A747" s="2" t="s">
        <v>272</v>
      </c>
      <c r="B747" s="26" t="s">
        <v>1068</v>
      </c>
      <c r="C747" s="2" t="s">
        <v>1731</v>
      </c>
      <c r="D747" s="2" t="s">
        <v>1732</v>
      </c>
      <c r="I747" s="138"/>
      <c r="J747" s="5" t="s">
        <v>323</v>
      </c>
      <c r="K747" s="5" t="s">
        <v>329</v>
      </c>
      <c r="L747" s="5"/>
      <c r="N747" s="11" t="s">
        <v>964</v>
      </c>
      <c r="O747"/>
      <c r="P747"/>
    </row>
    <row r="748" spans="1:16" hidden="1">
      <c r="A748" s="2" t="s">
        <v>272</v>
      </c>
      <c r="B748" s="26" t="s">
        <v>1068</v>
      </c>
      <c r="C748" s="2" t="s">
        <v>1733</v>
      </c>
      <c r="D748" s="2" t="s">
        <v>1734</v>
      </c>
      <c r="I748" s="138"/>
      <c r="J748" s="5" t="s">
        <v>323</v>
      </c>
      <c r="K748" s="5" t="s">
        <v>329</v>
      </c>
      <c r="L748" s="5"/>
      <c r="N748" s="11" t="s">
        <v>964</v>
      </c>
      <c r="O748"/>
      <c r="P748"/>
    </row>
    <row r="749" spans="1:16" hidden="1">
      <c r="A749" s="2" t="s">
        <v>272</v>
      </c>
      <c r="B749" s="26" t="s">
        <v>1068</v>
      </c>
      <c r="C749" s="2" t="s">
        <v>1735</v>
      </c>
      <c r="D749" s="2" t="s">
        <v>1173</v>
      </c>
      <c r="F749" s="129">
        <v>1</v>
      </c>
      <c r="I749" s="138"/>
      <c r="J749" s="5" t="s">
        <v>323</v>
      </c>
      <c r="K749" s="5" t="s">
        <v>328</v>
      </c>
      <c r="L749" s="5"/>
      <c r="O749" t="s">
        <v>479</v>
      </c>
      <c r="P749"/>
    </row>
    <row r="750" spans="1:16" hidden="1">
      <c r="A750" s="2" t="s">
        <v>272</v>
      </c>
      <c r="B750" s="26" t="s">
        <v>1145</v>
      </c>
      <c r="C750" s="2" t="s">
        <v>1736</v>
      </c>
      <c r="D750" s="2" t="s">
        <v>1147</v>
      </c>
      <c r="I750" s="138"/>
      <c r="J750" s="5" t="s">
        <v>323</v>
      </c>
      <c r="K750" s="5" t="s">
        <v>329</v>
      </c>
      <c r="L750" s="5" t="s">
        <v>964</v>
      </c>
      <c r="O750"/>
      <c r="P750"/>
    </row>
    <row r="751" spans="1:16" hidden="1">
      <c r="A751" s="2" t="s">
        <v>272</v>
      </c>
      <c r="B751" s="26" t="s">
        <v>1145</v>
      </c>
      <c r="C751" s="2" t="s">
        <v>1737</v>
      </c>
      <c r="D751" s="2" t="s">
        <v>1738</v>
      </c>
      <c r="F751" s="129">
        <v>1</v>
      </c>
      <c r="I751" s="138"/>
      <c r="J751" s="5" t="s">
        <v>323</v>
      </c>
      <c r="K751" s="5" t="s">
        <v>329</v>
      </c>
      <c r="L751" s="5" t="s">
        <v>964</v>
      </c>
      <c r="N751" s="11" t="s">
        <v>964</v>
      </c>
      <c r="O751" t="s">
        <v>479</v>
      </c>
      <c r="P751"/>
    </row>
    <row r="752" spans="1:16" ht="25.5" hidden="1">
      <c r="A752" s="2" t="s">
        <v>272</v>
      </c>
      <c r="B752" s="26" t="s">
        <v>1145</v>
      </c>
      <c r="C752" s="2" t="s">
        <v>1739</v>
      </c>
      <c r="D752" s="2" t="s">
        <v>1740</v>
      </c>
      <c r="I752" s="138"/>
      <c r="J752" s="5" t="s">
        <v>323</v>
      </c>
      <c r="K752" s="5" t="s">
        <v>329</v>
      </c>
      <c r="L752" s="5" t="s">
        <v>964</v>
      </c>
      <c r="N752" s="11" t="s">
        <v>964</v>
      </c>
      <c r="O752"/>
      <c r="P752"/>
    </row>
    <row r="753" spans="1:16" hidden="1">
      <c r="A753" s="2" t="s">
        <v>272</v>
      </c>
      <c r="B753" s="26" t="s">
        <v>1145</v>
      </c>
      <c r="C753" s="2" t="s">
        <v>1741</v>
      </c>
      <c r="D753" s="2" t="s">
        <v>1742</v>
      </c>
      <c r="I753" s="138"/>
      <c r="J753" s="5" t="s">
        <v>323</v>
      </c>
      <c r="K753" s="5" t="s">
        <v>329</v>
      </c>
      <c r="L753" s="5" t="s">
        <v>964</v>
      </c>
      <c r="N753" s="11" t="s">
        <v>964</v>
      </c>
      <c r="O753"/>
      <c r="P753"/>
    </row>
    <row r="754" spans="1:16" ht="25.5" hidden="1">
      <c r="A754" s="2" t="s">
        <v>272</v>
      </c>
      <c r="B754" s="26" t="s">
        <v>1145</v>
      </c>
      <c r="C754" s="2" t="s">
        <v>1743</v>
      </c>
      <c r="D754" s="2" t="s">
        <v>1744</v>
      </c>
      <c r="F754" s="129">
        <v>1</v>
      </c>
      <c r="I754" s="138"/>
      <c r="J754" s="5" t="s">
        <v>323</v>
      </c>
      <c r="K754" s="5" t="s">
        <v>329</v>
      </c>
      <c r="L754" s="5" t="s">
        <v>964</v>
      </c>
      <c r="N754" s="11" t="s">
        <v>964</v>
      </c>
      <c r="O754" t="s">
        <v>479</v>
      </c>
      <c r="P754"/>
    </row>
    <row r="755" spans="1:16" hidden="1">
      <c r="A755" s="2" t="s">
        <v>272</v>
      </c>
      <c r="B755" s="26" t="s">
        <v>1145</v>
      </c>
      <c r="C755" s="2" t="s">
        <v>1745</v>
      </c>
      <c r="D755" s="2" t="s">
        <v>1746</v>
      </c>
      <c r="I755" s="138"/>
      <c r="J755" s="5" t="s">
        <v>323</v>
      </c>
      <c r="K755" s="5" t="s">
        <v>329</v>
      </c>
      <c r="L755" s="5" t="s">
        <v>964</v>
      </c>
      <c r="N755" s="11" t="s">
        <v>964</v>
      </c>
      <c r="O755"/>
      <c r="P755"/>
    </row>
    <row r="756" spans="1:16">
      <c r="K756" s="128"/>
    </row>
    <row r="763" spans="1:16">
      <c r="C763" s="15"/>
    </row>
    <row r="764" spans="1:16">
      <c r="C764" s="15"/>
    </row>
    <row r="765" spans="1:16">
      <c r="C765" s="15"/>
    </row>
  </sheetData>
  <autoFilter ref="A1:P755" xr:uid="{ABDD4E39-4794-419B-A216-F7CBBC9C97C7}">
    <filterColumn colId="0">
      <filters>
        <filter val="Home"/>
        <filter val="Motor"/>
        <filter val="Van"/>
      </filters>
    </filterColumn>
    <filterColumn colId="5">
      <filters>
        <filter val="1"/>
      </filters>
    </filterColumn>
    <filterColumn colId="7">
      <filters blank="1"/>
    </filterColumn>
  </autoFilter>
  <mergeCells count="17">
    <mergeCell ref="N47:N59"/>
    <mergeCell ref="H93:H94"/>
    <mergeCell ref="N107:N108"/>
    <mergeCell ref="G93:G94"/>
    <mergeCell ref="I93:I94"/>
    <mergeCell ref="G76:G77"/>
    <mergeCell ref="I76:I77"/>
    <mergeCell ref="M93:M94"/>
    <mergeCell ref="N339:N345"/>
    <mergeCell ref="G494:G495"/>
    <mergeCell ref="N238:N239"/>
    <mergeCell ref="E93:E94"/>
    <mergeCell ref="G160:G161"/>
    <mergeCell ref="I160:I161"/>
    <mergeCell ref="H415:H416"/>
    <mergeCell ref="I494:I495"/>
    <mergeCell ref="N157:N158"/>
  </mergeCells>
  <dataValidations count="2">
    <dataValidation type="list" allowBlank="1" showInputMessage="1" showErrorMessage="1" sqref="L499:L500 K1:K1048576" xr:uid="{41F81619-3484-4C1D-858B-F68151E7B6DE}">
      <formula1>$S$12:$S$14</formula1>
    </dataValidation>
    <dataValidation type="list" allowBlank="1" showInputMessage="1" showErrorMessage="1" sqref="J1:J1048576" xr:uid="{EAEE5762-FAE2-421A-9061-58338CFE47F1}">
      <formula1>$S$2:$S$11</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EB529-D601-4048-80E6-B64A7F681459}">
  <dimension ref="A1:B321"/>
  <sheetViews>
    <sheetView workbookViewId="0">
      <selection activeCell="A15" sqref="A15"/>
    </sheetView>
  </sheetViews>
  <sheetFormatPr defaultRowHeight="15"/>
  <cols>
    <col min="1" max="1" width="127.7109375" customWidth="1"/>
    <col min="2" max="2" width="36.5703125" customWidth="1"/>
  </cols>
  <sheetData>
    <row r="1" spans="1:2">
      <c r="A1" s="157" t="s">
        <v>1747</v>
      </c>
      <c r="B1" s="157" t="s">
        <v>1748</v>
      </c>
    </row>
    <row r="2" spans="1:2">
      <c r="A2" s="15" t="s">
        <v>1749</v>
      </c>
      <c r="B2" s="15">
        <v>1203</v>
      </c>
    </row>
    <row r="3" spans="1:2">
      <c r="A3" s="15" t="s">
        <v>1750</v>
      </c>
      <c r="B3" s="15">
        <v>1203</v>
      </c>
    </row>
    <row r="4" spans="1:2">
      <c r="A4" s="15" t="s">
        <v>1751</v>
      </c>
      <c r="B4" s="15">
        <v>1203</v>
      </c>
    </row>
    <row r="5" spans="1:2">
      <c r="A5" s="15" t="s">
        <v>1752</v>
      </c>
      <c r="B5" s="15">
        <v>1051</v>
      </c>
    </row>
    <row r="6" spans="1:2">
      <c r="A6" s="15" t="s">
        <v>1753</v>
      </c>
      <c r="B6" s="15">
        <v>1051</v>
      </c>
    </row>
    <row r="7" spans="1:2">
      <c r="A7" s="15" t="s">
        <v>1754</v>
      </c>
      <c r="B7" s="15">
        <v>1051</v>
      </c>
    </row>
    <row r="8" spans="1:2">
      <c r="A8" s="15" t="s">
        <v>1755</v>
      </c>
      <c r="B8" s="15">
        <v>955</v>
      </c>
    </row>
    <row r="9" spans="1:2">
      <c r="A9" s="15" t="s">
        <v>1756</v>
      </c>
      <c r="B9" s="15">
        <v>955</v>
      </c>
    </row>
    <row r="10" spans="1:2">
      <c r="A10" s="15" t="s">
        <v>1757</v>
      </c>
      <c r="B10" s="15">
        <v>955</v>
      </c>
    </row>
    <row r="11" spans="1:2">
      <c r="A11" s="15" t="s">
        <v>1758</v>
      </c>
      <c r="B11" s="15">
        <v>955</v>
      </c>
    </row>
    <row r="12" spans="1:2">
      <c r="A12" s="15" t="s">
        <v>1759</v>
      </c>
      <c r="B12" s="15">
        <v>954</v>
      </c>
    </row>
    <row r="13" spans="1:2">
      <c r="A13" s="15" t="s">
        <v>1760</v>
      </c>
      <c r="B13" s="15">
        <v>953</v>
      </c>
    </row>
    <row r="14" spans="1:2">
      <c r="A14" s="15" t="s">
        <v>1761</v>
      </c>
      <c r="B14" s="15">
        <v>953</v>
      </c>
    </row>
    <row r="15" spans="1:2">
      <c r="A15" s="15" t="s">
        <v>1762</v>
      </c>
      <c r="B15" s="15">
        <v>950</v>
      </c>
    </row>
    <row r="16" spans="1:2">
      <c r="A16" s="15" t="s">
        <v>1763</v>
      </c>
      <c r="B16" s="15">
        <v>927</v>
      </c>
    </row>
    <row r="17" spans="1:2">
      <c r="A17" s="15" t="s">
        <v>1764</v>
      </c>
      <c r="B17" s="15">
        <v>927</v>
      </c>
    </row>
    <row r="18" spans="1:2">
      <c r="A18" s="15" t="s">
        <v>1765</v>
      </c>
      <c r="B18" s="15">
        <v>910</v>
      </c>
    </row>
    <row r="19" spans="1:2">
      <c r="A19" s="15" t="s">
        <v>1766</v>
      </c>
      <c r="B19" s="15">
        <v>910</v>
      </c>
    </row>
    <row r="20" spans="1:2">
      <c r="A20" s="15" t="s">
        <v>1767</v>
      </c>
      <c r="B20" s="15">
        <v>907</v>
      </c>
    </row>
    <row r="21" spans="1:2">
      <c r="A21" s="15" t="s">
        <v>1768</v>
      </c>
      <c r="B21" s="15">
        <v>895</v>
      </c>
    </row>
    <row r="22" spans="1:2">
      <c r="A22" s="15" t="s">
        <v>1769</v>
      </c>
      <c r="B22" s="15">
        <v>895</v>
      </c>
    </row>
    <row r="23" spans="1:2">
      <c r="A23" s="15" t="s">
        <v>1770</v>
      </c>
      <c r="B23" s="15">
        <v>894</v>
      </c>
    </row>
    <row r="24" spans="1:2">
      <c r="A24" s="15" t="s">
        <v>1771</v>
      </c>
      <c r="B24" s="15">
        <v>894</v>
      </c>
    </row>
    <row r="25" spans="1:2">
      <c r="A25" s="15" t="s">
        <v>1772</v>
      </c>
      <c r="B25" s="15">
        <v>887</v>
      </c>
    </row>
    <row r="26" spans="1:2">
      <c r="A26" s="15" t="s">
        <v>1773</v>
      </c>
      <c r="B26" s="15">
        <v>886</v>
      </c>
    </row>
    <row r="27" spans="1:2">
      <c r="A27" s="15" t="s">
        <v>1774</v>
      </c>
      <c r="B27" s="15">
        <v>848</v>
      </c>
    </row>
    <row r="28" spans="1:2">
      <c r="A28" s="15" t="s">
        <v>1775</v>
      </c>
      <c r="B28" s="15">
        <v>448</v>
      </c>
    </row>
    <row r="29" spans="1:2">
      <c r="A29" s="15" t="s">
        <v>1776</v>
      </c>
      <c r="B29" s="15">
        <v>448</v>
      </c>
    </row>
    <row r="30" spans="1:2">
      <c r="A30" s="15" t="s">
        <v>1777</v>
      </c>
      <c r="B30" s="15">
        <v>441</v>
      </c>
    </row>
    <row r="31" spans="1:2">
      <c r="A31" s="15" t="s">
        <v>1778</v>
      </c>
      <c r="B31" s="15">
        <v>441</v>
      </c>
    </row>
    <row r="32" spans="1:2">
      <c r="A32" s="15" t="s">
        <v>1779</v>
      </c>
      <c r="B32" s="15">
        <v>430</v>
      </c>
    </row>
    <row r="33" spans="1:2">
      <c r="A33" s="15" t="s">
        <v>1780</v>
      </c>
      <c r="B33" s="15">
        <v>429</v>
      </c>
    </row>
    <row r="34" spans="1:2">
      <c r="A34" s="15" t="s">
        <v>1781</v>
      </c>
      <c r="B34" s="15">
        <v>429</v>
      </c>
    </row>
    <row r="35" spans="1:2">
      <c r="A35" s="15" t="s">
        <v>1782</v>
      </c>
      <c r="B35" s="15">
        <v>428</v>
      </c>
    </row>
    <row r="36" spans="1:2">
      <c r="A36" s="15" t="s">
        <v>1783</v>
      </c>
      <c r="B36" s="15">
        <v>428</v>
      </c>
    </row>
    <row r="37" spans="1:2">
      <c r="A37" s="15" t="s">
        <v>1784</v>
      </c>
      <c r="B37" s="15">
        <v>425</v>
      </c>
    </row>
    <row r="38" spans="1:2">
      <c r="A38" s="15" t="s">
        <v>1785</v>
      </c>
      <c r="B38" s="15">
        <v>415</v>
      </c>
    </row>
    <row r="39" spans="1:2">
      <c r="A39" s="15" t="s">
        <v>1786</v>
      </c>
      <c r="B39" s="15">
        <v>414</v>
      </c>
    </row>
    <row r="40" spans="1:2">
      <c r="A40" s="15" t="s">
        <v>1787</v>
      </c>
      <c r="B40" s="15">
        <v>319</v>
      </c>
    </row>
    <row r="41" spans="1:2">
      <c r="A41" s="15" t="s">
        <v>1788</v>
      </c>
      <c r="B41" s="15">
        <v>274</v>
      </c>
    </row>
    <row r="42" spans="1:2">
      <c r="A42" s="15" t="s">
        <v>1476</v>
      </c>
      <c r="B42" s="15">
        <v>222</v>
      </c>
    </row>
    <row r="43" spans="1:2">
      <c r="A43" s="15" t="s">
        <v>1789</v>
      </c>
      <c r="B43" s="15">
        <v>222</v>
      </c>
    </row>
    <row r="44" spans="1:2">
      <c r="A44" s="15" t="s">
        <v>1790</v>
      </c>
      <c r="B44" s="15">
        <v>222</v>
      </c>
    </row>
    <row r="45" spans="1:2">
      <c r="A45" s="15" t="s">
        <v>1791</v>
      </c>
      <c r="B45" s="15">
        <v>134</v>
      </c>
    </row>
    <row r="46" spans="1:2">
      <c r="A46" s="15" t="s">
        <v>1792</v>
      </c>
      <c r="B46" s="15">
        <v>87</v>
      </c>
    </row>
    <row r="47" spans="1:2">
      <c r="A47" s="15" t="s">
        <v>1793</v>
      </c>
      <c r="B47" s="15">
        <v>87</v>
      </c>
    </row>
    <row r="48" spans="1:2">
      <c r="A48" s="15" t="s">
        <v>1794</v>
      </c>
      <c r="B48" s="15">
        <v>87</v>
      </c>
    </row>
    <row r="49" spans="1:2">
      <c r="A49" s="15" t="s">
        <v>1795</v>
      </c>
      <c r="B49" s="15">
        <v>87</v>
      </c>
    </row>
    <row r="50" spans="1:2">
      <c r="A50" s="15" t="s">
        <v>1796</v>
      </c>
      <c r="B50" s="15">
        <v>47</v>
      </c>
    </row>
    <row r="51" spans="1:2">
      <c r="A51" s="15" t="s">
        <v>1797</v>
      </c>
      <c r="B51" s="15">
        <v>46</v>
      </c>
    </row>
    <row r="52" spans="1:2">
      <c r="A52" s="15" t="s">
        <v>1798</v>
      </c>
      <c r="B52" s="15">
        <v>46</v>
      </c>
    </row>
    <row r="53" spans="1:2">
      <c r="A53" s="15" t="s">
        <v>1799</v>
      </c>
      <c r="B53" s="15">
        <v>45</v>
      </c>
    </row>
    <row r="54" spans="1:2">
      <c r="A54" s="15" t="s">
        <v>1800</v>
      </c>
      <c r="B54" s="15">
        <v>45</v>
      </c>
    </row>
    <row r="55" spans="1:2">
      <c r="A55" s="15" t="s">
        <v>1801</v>
      </c>
      <c r="B55" s="15">
        <v>45</v>
      </c>
    </row>
    <row r="56" spans="1:2">
      <c r="A56" s="15" t="s">
        <v>1802</v>
      </c>
      <c r="B56" s="15">
        <v>45</v>
      </c>
    </row>
    <row r="57" spans="1:2">
      <c r="A57" s="15" t="s">
        <v>1803</v>
      </c>
      <c r="B57" s="15">
        <v>45</v>
      </c>
    </row>
    <row r="58" spans="1:2">
      <c r="A58" s="15" t="s">
        <v>1804</v>
      </c>
      <c r="B58" s="15">
        <v>45</v>
      </c>
    </row>
    <row r="59" spans="1:2">
      <c r="A59" s="15" t="s">
        <v>1805</v>
      </c>
      <c r="B59" s="15">
        <v>45</v>
      </c>
    </row>
    <row r="60" spans="1:2">
      <c r="A60" s="15" t="s">
        <v>1806</v>
      </c>
      <c r="B60" s="15">
        <v>45</v>
      </c>
    </row>
    <row r="61" spans="1:2">
      <c r="A61" s="15" t="s">
        <v>1807</v>
      </c>
      <c r="B61" s="15">
        <v>42</v>
      </c>
    </row>
    <row r="62" spans="1:2">
      <c r="A62" s="15" t="s">
        <v>1808</v>
      </c>
      <c r="B62" s="15">
        <v>42</v>
      </c>
    </row>
    <row r="63" spans="1:2">
      <c r="A63" s="15" t="s">
        <v>1809</v>
      </c>
      <c r="B63" s="15">
        <v>41</v>
      </c>
    </row>
    <row r="64" spans="1:2">
      <c r="A64" s="15" t="s">
        <v>1810</v>
      </c>
      <c r="B64" s="15">
        <v>40</v>
      </c>
    </row>
    <row r="65" spans="1:2">
      <c r="A65" s="15" t="s">
        <v>1811</v>
      </c>
      <c r="B65" s="15">
        <v>40</v>
      </c>
    </row>
    <row r="66" spans="1:2">
      <c r="A66" s="15" t="s">
        <v>1812</v>
      </c>
      <c r="B66" s="15">
        <v>40</v>
      </c>
    </row>
    <row r="67" spans="1:2">
      <c r="A67" s="15" t="s">
        <v>1813</v>
      </c>
      <c r="B67" s="15">
        <v>40</v>
      </c>
    </row>
    <row r="68" spans="1:2">
      <c r="A68" s="15" t="s">
        <v>1814</v>
      </c>
      <c r="B68" s="15">
        <v>40</v>
      </c>
    </row>
    <row r="69" spans="1:2">
      <c r="A69" s="15" t="s">
        <v>1815</v>
      </c>
      <c r="B69" s="15">
        <v>39</v>
      </c>
    </row>
    <row r="70" spans="1:2">
      <c r="A70" s="15" t="s">
        <v>1816</v>
      </c>
      <c r="B70" s="15">
        <v>38</v>
      </c>
    </row>
    <row r="71" spans="1:2">
      <c r="A71" s="15" t="s">
        <v>1817</v>
      </c>
      <c r="B71" s="15">
        <v>38</v>
      </c>
    </row>
    <row r="72" spans="1:2">
      <c r="A72" s="15" t="s">
        <v>1818</v>
      </c>
      <c r="B72" s="15">
        <v>35</v>
      </c>
    </row>
    <row r="73" spans="1:2">
      <c r="A73" s="15" t="s">
        <v>1819</v>
      </c>
      <c r="B73" s="15">
        <v>35</v>
      </c>
    </row>
    <row r="74" spans="1:2">
      <c r="A74" s="15" t="s">
        <v>1820</v>
      </c>
      <c r="B74" s="15">
        <v>35</v>
      </c>
    </row>
    <row r="75" spans="1:2">
      <c r="A75" s="15" t="s">
        <v>1821</v>
      </c>
      <c r="B75" s="15">
        <v>33</v>
      </c>
    </row>
    <row r="76" spans="1:2">
      <c r="A76" s="15" t="s">
        <v>1822</v>
      </c>
      <c r="B76" s="15">
        <v>32</v>
      </c>
    </row>
    <row r="77" spans="1:2">
      <c r="A77" s="15" t="s">
        <v>1823</v>
      </c>
      <c r="B77" s="15">
        <v>32</v>
      </c>
    </row>
    <row r="78" spans="1:2">
      <c r="A78" s="15" t="s">
        <v>1824</v>
      </c>
      <c r="B78" s="15">
        <v>32</v>
      </c>
    </row>
    <row r="79" spans="1:2">
      <c r="A79" s="15" t="s">
        <v>1825</v>
      </c>
      <c r="B79" s="15">
        <v>32</v>
      </c>
    </row>
    <row r="80" spans="1:2">
      <c r="A80" s="15" t="s">
        <v>1826</v>
      </c>
      <c r="B80" s="15">
        <v>32</v>
      </c>
    </row>
    <row r="81" spans="1:2">
      <c r="A81" s="15" t="s">
        <v>1827</v>
      </c>
      <c r="B81" s="15">
        <v>32</v>
      </c>
    </row>
    <row r="82" spans="1:2">
      <c r="A82" s="15" t="s">
        <v>1828</v>
      </c>
      <c r="B82" s="15">
        <v>32</v>
      </c>
    </row>
    <row r="83" spans="1:2">
      <c r="A83" s="15" t="s">
        <v>1829</v>
      </c>
      <c r="B83" s="15">
        <v>29</v>
      </c>
    </row>
    <row r="84" spans="1:2">
      <c r="A84" s="15" t="s">
        <v>1830</v>
      </c>
      <c r="B84" s="15">
        <v>29</v>
      </c>
    </row>
    <row r="85" spans="1:2">
      <c r="A85" s="15" t="s">
        <v>1831</v>
      </c>
      <c r="B85" s="15">
        <v>29</v>
      </c>
    </row>
    <row r="86" spans="1:2">
      <c r="A86" s="15" t="s">
        <v>1832</v>
      </c>
      <c r="B86" s="15">
        <v>29</v>
      </c>
    </row>
    <row r="87" spans="1:2">
      <c r="A87" s="15" t="s">
        <v>1833</v>
      </c>
      <c r="B87" s="15">
        <v>29</v>
      </c>
    </row>
    <row r="88" spans="1:2">
      <c r="A88" s="15" t="s">
        <v>1834</v>
      </c>
      <c r="B88" s="15">
        <v>29</v>
      </c>
    </row>
    <row r="89" spans="1:2">
      <c r="A89" s="15" t="s">
        <v>1835</v>
      </c>
      <c r="B89" s="15">
        <v>29</v>
      </c>
    </row>
    <row r="90" spans="1:2">
      <c r="A90" s="15" t="s">
        <v>1836</v>
      </c>
      <c r="B90" s="15">
        <v>29</v>
      </c>
    </row>
    <row r="91" spans="1:2">
      <c r="A91" s="15" t="s">
        <v>1837</v>
      </c>
      <c r="B91" s="15">
        <v>28</v>
      </c>
    </row>
    <row r="92" spans="1:2">
      <c r="A92" s="15" t="s">
        <v>1838</v>
      </c>
      <c r="B92" s="15">
        <v>28</v>
      </c>
    </row>
    <row r="93" spans="1:2">
      <c r="A93" s="15" t="s">
        <v>1839</v>
      </c>
      <c r="B93" s="15">
        <v>28</v>
      </c>
    </row>
    <row r="94" spans="1:2">
      <c r="A94" s="15" t="s">
        <v>1840</v>
      </c>
      <c r="B94" s="15">
        <v>28</v>
      </c>
    </row>
    <row r="95" spans="1:2">
      <c r="A95" s="15" t="s">
        <v>1841</v>
      </c>
      <c r="B95" s="15">
        <v>26</v>
      </c>
    </row>
    <row r="96" spans="1:2">
      <c r="A96" s="15" t="s">
        <v>1842</v>
      </c>
      <c r="B96" s="15">
        <v>26</v>
      </c>
    </row>
    <row r="97" spans="1:2">
      <c r="A97" s="15" t="s">
        <v>1843</v>
      </c>
      <c r="B97" s="15">
        <v>26</v>
      </c>
    </row>
    <row r="98" spans="1:2">
      <c r="A98" s="15" t="s">
        <v>1844</v>
      </c>
      <c r="B98" s="15">
        <v>23</v>
      </c>
    </row>
    <row r="99" spans="1:2">
      <c r="A99" s="15" t="s">
        <v>1845</v>
      </c>
      <c r="B99" s="15">
        <v>23</v>
      </c>
    </row>
    <row r="100" spans="1:2">
      <c r="A100" s="15" t="s">
        <v>1846</v>
      </c>
      <c r="B100" s="15">
        <v>20</v>
      </c>
    </row>
    <row r="101" spans="1:2">
      <c r="A101" s="15" t="s">
        <v>1847</v>
      </c>
      <c r="B101" s="15">
        <v>20</v>
      </c>
    </row>
    <row r="102" spans="1:2">
      <c r="A102" s="15" t="s">
        <v>1848</v>
      </c>
      <c r="B102" s="15">
        <v>20</v>
      </c>
    </row>
    <row r="103" spans="1:2">
      <c r="A103" s="15" t="s">
        <v>1849</v>
      </c>
      <c r="B103" s="15">
        <v>20</v>
      </c>
    </row>
    <row r="104" spans="1:2">
      <c r="A104" s="15" t="s">
        <v>1850</v>
      </c>
      <c r="B104" s="15">
        <v>19</v>
      </c>
    </row>
    <row r="105" spans="1:2">
      <c r="A105" s="15" t="s">
        <v>1851</v>
      </c>
      <c r="B105" s="15">
        <v>19</v>
      </c>
    </row>
    <row r="106" spans="1:2">
      <c r="A106" s="15" t="s">
        <v>1852</v>
      </c>
      <c r="B106" s="15">
        <v>19</v>
      </c>
    </row>
    <row r="107" spans="1:2">
      <c r="A107" s="15" t="s">
        <v>1853</v>
      </c>
      <c r="B107" s="15">
        <v>18</v>
      </c>
    </row>
    <row r="108" spans="1:2">
      <c r="A108" s="15" t="s">
        <v>1854</v>
      </c>
      <c r="B108" s="15">
        <v>18</v>
      </c>
    </row>
    <row r="109" spans="1:2">
      <c r="A109" s="15" t="s">
        <v>1855</v>
      </c>
      <c r="B109" s="15">
        <v>18</v>
      </c>
    </row>
    <row r="110" spans="1:2">
      <c r="A110" s="15" t="s">
        <v>1856</v>
      </c>
      <c r="B110" s="15">
        <v>18</v>
      </c>
    </row>
    <row r="111" spans="1:2">
      <c r="A111" s="15" t="s">
        <v>1857</v>
      </c>
      <c r="B111" s="15">
        <v>18</v>
      </c>
    </row>
    <row r="112" spans="1:2">
      <c r="A112" s="15" t="s">
        <v>1858</v>
      </c>
      <c r="B112" s="15">
        <v>18</v>
      </c>
    </row>
    <row r="113" spans="1:2">
      <c r="A113" s="15" t="s">
        <v>1859</v>
      </c>
      <c r="B113" s="15">
        <v>17</v>
      </c>
    </row>
    <row r="114" spans="1:2">
      <c r="A114" s="15" t="s">
        <v>1860</v>
      </c>
      <c r="B114" s="15">
        <v>17</v>
      </c>
    </row>
    <row r="115" spans="1:2">
      <c r="A115" s="15" t="s">
        <v>1861</v>
      </c>
      <c r="B115" s="15">
        <v>16</v>
      </c>
    </row>
    <row r="116" spans="1:2">
      <c r="A116" s="15" t="s">
        <v>1862</v>
      </c>
      <c r="B116" s="15">
        <v>16</v>
      </c>
    </row>
    <row r="117" spans="1:2">
      <c r="A117" s="15" t="s">
        <v>1863</v>
      </c>
      <c r="B117" s="15">
        <v>16</v>
      </c>
    </row>
    <row r="118" spans="1:2">
      <c r="A118" s="15" t="s">
        <v>1864</v>
      </c>
      <c r="B118" s="15">
        <v>16</v>
      </c>
    </row>
    <row r="119" spans="1:2">
      <c r="A119" s="15" t="s">
        <v>1865</v>
      </c>
      <c r="B119" s="15">
        <v>15</v>
      </c>
    </row>
    <row r="120" spans="1:2">
      <c r="A120" s="15" t="s">
        <v>1866</v>
      </c>
      <c r="B120" s="15">
        <v>15</v>
      </c>
    </row>
    <row r="121" spans="1:2">
      <c r="A121" s="15" t="s">
        <v>1867</v>
      </c>
      <c r="B121" s="15">
        <v>14</v>
      </c>
    </row>
    <row r="122" spans="1:2">
      <c r="A122" s="15" t="s">
        <v>1868</v>
      </c>
      <c r="B122" s="15">
        <v>14</v>
      </c>
    </row>
    <row r="123" spans="1:2">
      <c r="A123" s="15" t="s">
        <v>1869</v>
      </c>
      <c r="B123" s="15">
        <v>14</v>
      </c>
    </row>
    <row r="124" spans="1:2">
      <c r="A124" s="15" t="s">
        <v>1870</v>
      </c>
      <c r="B124" s="15">
        <v>14</v>
      </c>
    </row>
    <row r="125" spans="1:2">
      <c r="A125" s="15" t="s">
        <v>1871</v>
      </c>
      <c r="B125" s="15">
        <v>14</v>
      </c>
    </row>
    <row r="126" spans="1:2">
      <c r="A126" s="15" t="s">
        <v>1872</v>
      </c>
      <c r="B126" s="15">
        <v>14</v>
      </c>
    </row>
    <row r="127" spans="1:2">
      <c r="A127" s="15" t="s">
        <v>1873</v>
      </c>
      <c r="B127" s="15">
        <v>13</v>
      </c>
    </row>
    <row r="128" spans="1:2">
      <c r="A128" s="15" t="s">
        <v>1874</v>
      </c>
      <c r="B128" s="15">
        <v>13</v>
      </c>
    </row>
    <row r="129" spans="1:2">
      <c r="A129" s="15" t="s">
        <v>1875</v>
      </c>
      <c r="B129" s="15">
        <v>13</v>
      </c>
    </row>
    <row r="130" spans="1:2">
      <c r="A130" s="15" t="s">
        <v>1876</v>
      </c>
      <c r="B130" s="15">
        <v>13</v>
      </c>
    </row>
    <row r="131" spans="1:2">
      <c r="A131" s="15" t="s">
        <v>1877</v>
      </c>
      <c r="B131" s="15">
        <v>13</v>
      </c>
    </row>
    <row r="132" spans="1:2">
      <c r="A132" s="15" t="s">
        <v>1878</v>
      </c>
      <c r="B132" s="15">
        <v>13</v>
      </c>
    </row>
    <row r="133" spans="1:2">
      <c r="A133" s="15" t="s">
        <v>1879</v>
      </c>
      <c r="B133" s="15">
        <v>13</v>
      </c>
    </row>
    <row r="134" spans="1:2">
      <c r="A134" s="15" t="s">
        <v>1880</v>
      </c>
      <c r="B134" s="15">
        <v>13</v>
      </c>
    </row>
    <row r="135" spans="1:2">
      <c r="A135" s="15" t="s">
        <v>1881</v>
      </c>
      <c r="B135" s="15">
        <v>13</v>
      </c>
    </row>
    <row r="136" spans="1:2">
      <c r="A136" s="15" t="s">
        <v>1882</v>
      </c>
      <c r="B136" s="15">
        <v>12</v>
      </c>
    </row>
    <row r="137" spans="1:2">
      <c r="A137" s="15" t="s">
        <v>1883</v>
      </c>
      <c r="B137" s="15">
        <v>12</v>
      </c>
    </row>
    <row r="138" spans="1:2">
      <c r="A138" s="15" t="s">
        <v>1884</v>
      </c>
      <c r="B138" s="15">
        <v>12</v>
      </c>
    </row>
    <row r="139" spans="1:2">
      <c r="A139" s="15" t="s">
        <v>1885</v>
      </c>
      <c r="B139" s="15">
        <v>12</v>
      </c>
    </row>
    <row r="140" spans="1:2">
      <c r="A140" s="15" t="s">
        <v>1886</v>
      </c>
      <c r="B140" s="15">
        <v>12</v>
      </c>
    </row>
    <row r="141" spans="1:2">
      <c r="A141" s="15" t="s">
        <v>1887</v>
      </c>
      <c r="B141" s="15">
        <v>12</v>
      </c>
    </row>
    <row r="142" spans="1:2">
      <c r="A142" s="15" t="s">
        <v>1888</v>
      </c>
      <c r="B142" s="15">
        <v>12</v>
      </c>
    </row>
    <row r="143" spans="1:2">
      <c r="A143" s="15" t="s">
        <v>1889</v>
      </c>
      <c r="B143" s="15">
        <v>12</v>
      </c>
    </row>
    <row r="144" spans="1:2">
      <c r="A144" s="15" t="s">
        <v>1890</v>
      </c>
      <c r="B144" s="15">
        <v>12</v>
      </c>
    </row>
    <row r="145" spans="1:2">
      <c r="A145" s="15" t="s">
        <v>1891</v>
      </c>
      <c r="B145" s="15">
        <v>12</v>
      </c>
    </row>
    <row r="146" spans="1:2">
      <c r="A146" s="15" t="s">
        <v>1892</v>
      </c>
      <c r="B146" s="15">
        <v>12</v>
      </c>
    </row>
    <row r="147" spans="1:2">
      <c r="A147" s="15" t="s">
        <v>1893</v>
      </c>
      <c r="B147" s="15">
        <v>12</v>
      </c>
    </row>
    <row r="148" spans="1:2">
      <c r="A148" s="15" t="s">
        <v>1894</v>
      </c>
      <c r="B148" s="15">
        <v>12</v>
      </c>
    </row>
    <row r="149" spans="1:2">
      <c r="A149" s="15" t="s">
        <v>1895</v>
      </c>
      <c r="B149" s="15">
        <v>12</v>
      </c>
    </row>
    <row r="150" spans="1:2">
      <c r="A150" s="15" t="s">
        <v>1896</v>
      </c>
      <c r="B150" s="15">
        <v>12</v>
      </c>
    </row>
    <row r="151" spans="1:2">
      <c r="A151" s="15" t="s">
        <v>1897</v>
      </c>
      <c r="B151" s="15">
        <v>11</v>
      </c>
    </row>
    <row r="152" spans="1:2">
      <c r="A152" s="15" t="s">
        <v>1898</v>
      </c>
      <c r="B152" s="15">
        <v>11</v>
      </c>
    </row>
    <row r="153" spans="1:2">
      <c r="A153" s="15" t="s">
        <v>1899</v>
      </c>
      <c r="B153" s="15">
        <v>11</v>
      </c>
    </row>
    <row r="154" spans="1:2">
      <c r="A154" s="15" t="s">
        <v>1900</v>
      </c>
      <c r="B154" s="15">
        <v>11</v>
      </c>
    </row>
    <row r="155" spans="1:2">
      <c r="A155" s="15" t="s">
        <v>1901</v>
      </c>
      <c r="B155" s="15">
        <v>11</v>
      </c>
    </row>
    <row r="156" spans="1:2">
      <c r="A156" s="15" t="s">
        <v>1902</v>
      </c>
      <c r="B156" s="15">
        <v>11</v>
      </c>
    </row>
    <row r="157" spans="1:2">
      <c r="A157" s="15" t="s">
        <v>1903</v>
      </c>
      <c r="B157" s="15">
        <v>11</v>
      </c>
    </row>
    <row r="158" spans="1:2">
      <c r="A158" s="15" t="s">
        <v>1904</v>
      </c>
      <c r="B158" s="15">
        <v>11</v>
      </c>
    </row>
    <row r="159" spans="1:2">
      <c r="A159" s="15" t="s">
        <v>1905</v>
      </c>
      <c r="B159" s="15">
        <v>11</v>
      </c>
    </row>
    <row r="160" spans="1:2">
      <c r="A160" s="15" t="s">
        <v>1906</v>
      </c>
      <c r="B160" s="15">
        <v>10</v>
      </c>
    </row>
    <row r="161" spans="1:2">
      <c r="A161" s="15" t="s">
        <v>1907</v>
      </c>
      <c r="B161" s="15">
        <v>10</v>
      </c>
    </row>
    <row r="162" spans="1:2">
      <c r="A162" s="15" t="s">
        <v>1908</v>
      </c>
      <c r="B162" s="15">
        <v>9</v>
      </c>
    </row>
    <row r="163" spans="1:2">
      <c r="A163" s="15" t="s">
        <v>1909</v>
      </c>
      <c r="B163" s="15">
        <v>9</v>
      </c>
    </row>
    <row r="164" spans="1:2">
      <c r="A164" s="15" t="s">
        <v>1910</v>
      </c>
      <c r="B164" s="15">
        <v>9</v>
      </c>
    </row>
    <row r="165" spans="1:2">
      <c r="A165" s="15" t="s">
        <v>1911</v>
      </c>
      <c r="B165" s="15">
        <v>9</v>
      </c>
    </row>
    <row r="166" spans="1:2">
      <c r="A166" s="15" t="s">
        <v>1912</v>
      </c>
      <c r="B166" s="15">
        <v>9</v>
      </c>
    </row>
    <row r="167" spans="1:2">
      <c r="A167" s="15" t="s">
        <v>1913</v>
      </c>
      <c r="B167" s="15">
        <v>8</v>
      </c>
    </row>
    <row r="168" spans="1:2">
      <c r="A168" s="15" t="s">
        <v>1914</v>
      </c>
      <c r="B168" s="15">
        <v>8</v>
      </c>
    </row>
    <row r="169" spans="1:2">
      <c r="A169" s="15" t="s">
        <v>1915</v>
      </c>
      <c r="B169" s="15">
        <v>8</v>
      </c>
    </row>
    <row r="170" spans="1:2">
      <c r="A170" s="15" t="s">
        <v>1916</v>
      </c>
      <c r="B170" s="15">
        <v>8</v>
      </c>
    </row>
    <row r="171" spans="1:2">
      <c r="A171" s="15" t="s">
        <v>1917</v>
      </c>
      <c r="B171" s="15">
        <v>8</v>
      </c>
    </row>
    <row r="172" spans="1:2">
      <c r="A172" s="15" t="s">
        <v>1918</v>
      </c>
      <c r="B172" s="15">
        <v>8</v>
      </c>
    </row>
    <row r="173" spans="1:2">
      <c r="A173" s="15" t="s">
        <v>1919</v>
      </c>
      <c r="B173" s="15">
        <v>6</v>
      </c>
    </row>
    <row r="174" spans="1:2">
      <c r="A174" s="15" t="s">
        <v>1920</v>
      </c>
      <c r="B174" s="15">
        <v>6</v>
      </c>
    </row>
    <row r="175" spans="1:2">
      <c r="A175" s="15" t="s">
        <v>1921</v>
      </c>
      <c r="B175" s="15">
        <v>6</v>
      </c>
    </row>
    <row r="176" spans="1:2">
      <c r="A176" s="15" t="s">
        <v>1922</v>
      </c>
      <c r="B176" s="15">
        <v>6</v>
      </c>
    </row>
    <row r="177" spans="1:2">
      <c r="A177" s="15" t="s">
        <v>1923</v>
      </c>
      <c r="B177" s="15">
        <v>6</v>
      </c>
    </row>
    <row r="178" spans="1:2">
      <c r="A178" s="15" t="s">
        <v>1924</v>
      </c>
      <c r="B178" s="15">
        <v>5</v>
      </c>
    </row>
    <row r="179" spans="1:2">
      <c r="A179" s="15" t="s">
        <v>1925</v>
      </c>
      <c r="B179" s="15">
        <v>5</v>
      </c>
    </row>
    <row r="180" spans="1:2">
      <c r="A180" s="15" t="s">
        <v>1926</v>
      </c>
      <c r="B180" s="15">
        <v>5</v>
      </c>
    </row>
    <row r="181" spans="1:2">
      <c r="A181" s="15" t="s">
        <v>1927</v>
      </c>
      <c r="B181" s="15">
        <v>5</v>
      </c>
    </row>
    <row r="182" spans="1:2">
      <c r="A182" s="15" t="s">
        <v>1928</v>
      </c>
      <c r="B182" s="15">
        <v>5</v>
      </c>
    </row>
    <row r="183" spans="1:2">
      <c r="A183" s="15" t="s">
        <v>1929</v>
      </c>
      <c r="B183" s="15">
        <v>5</v>
      </c>
    </row>
    <row r="184" spans="1:2">
      <c r="A184" s="15" t="s">
        <v>1930</v>
      </c>
      <c r="B184" s="15">
        <v>5</v>
      </c>
    </row>
    <row r="185" spans="1:2">
      <c r="A185" s="15" t="s">
        <v>1931</v>
      </c>
      <c r="B185" s="15">
        <v>5</v>
      </c>
    </row>
    <row r="186" spans="1:2">
      <c r="A186" s="15" t="s">
        <v>1932</v>
      </c>
      <c r="B186" s="15">
        <v>4</v>
      </c>
    </row>
    <row r="187" spans="1:2">
      <c r="A187" s="15" t="s">
        <v>1933</v>
      </c>
      <c r="B187" s="15">
        <v>4</v>
      </c>
    </row>
    <row r="188" spans="1:2">
      <c r="A188" s="15" t="s">
        <v>1934</v>
      </c>
      <c r="B188" s="15">
        <v>4</v>
      </c>
    </row>
    <row r="189" spans="1:2">
      <c r="A189" s="15" t="s">
        <v>1935</v>
      </c>
      <c r="B189" s="15">
        <v>4</v>
      </c>
    </row>
    <row r="190" spans="1:2">
      <c r="A190" s="15" t="s">
        <v>1936</v>
      </c>
      <c r="B190" s="15">
        <v>4</v>
      </c>
    </row>
    <row r="191" spans="1:2">
      <c r="A191" s="15" t="s">
        <v>1937</v>
      </c>
      <c r="B191" s="15">
        <v>3</v>
      </c>
    </row>
    <row r="192" spans="1:2">
      <c r="A192" s="15" t="s">
        <v>1938</v>
      </c>
      <c r="B192" s="15">
        <v>3</v>
      </c>
    </row>
    <row r="193" spans="1:2">
      <c r="A193" s="15" t="s">
        <v>1939</v>
      </c>
      <c r="B193" s="15">
        <v>3</v>
      </c>
    </row>
    <row r="194" spans="1:2">
      <c r="A194" s="15" t="s">
        <v>1940</v>
      </c>
      <c r="B194" s="15">
        <v>3</v>
      </c>
    </row>
    <row r="195" spans="1:2">
      <c r="A195" s="15" t="s">
        <v>1941</v>
      </c>
      <c r="B195" s="15">
        <v>3</v>
      </c>
    </row>
    <row r="196" spans="1:2">
      <c r="A196" s="15" t="s">
        <v>1942</v>
      </c>
      <c r="B196" s="15">
        <v>3</v>
      </c>
    </row>
    <row r="197" spans="1:2">
      <c r="A197" s="15" t="s">
        <v>1943</v>
      </c>
      <c r="B197" s="15">
        <v>3</v>
      </c>
    </row>
    <row r="198" spans="1:2">
      <c r="A198" s="15" t="s">
        <v>1944</v>
      </c>
      <c r="B198" s="15">
        <v>3</v>
      </c>
    </row>
    <row r="199" spans="1:2">
      <c r="A199" s="15" t="s">
        <v>1945</v>
      </c>
      <c r="B199" s="15">
        <v>3</v>
      </c>
    </row>
    <row r="200" spans="1:2">
      <c r="A200" s="15" t="s">
        <v>1946</v>
      </c>
      <c r="B200" s="15">
        <v>3</v>
      </c>
    </row>
    <row r="201" spans="1:2">
      <c r="A201" s="15" t="s">
        <v>1947</v>
      </c>
      <c r="B201" s="15">
        <v>3</v>
      </c>
    </row>
    <row r="202" spans="1:2">
      <c r="A202" s="15" t="s">
        <v>1948</v>
      </c>
      <c r="B202" s="15">
        <v>3</v>
      </c>
    </row>
    <row r="203" spans="1:2">
      <c r="A203" s="15" t="s">
        <v>1949</v>
      </c>
      <c r="B203" s="15">
        <v>3</v>
      </c>
    </row>
    <row r="204" spans="1:2">
      <c r="A204" s="15" t="s">
        <v>1950</v>
      </c>
      <c r="B204" s="15">
        <v>2</v>
      </c>
    </row>
    <row r="205" spans="1:2">
      <c r="A205" s="15" t="s">
        <v>1951</v>
      </c>
      <c r="B205" s="15">
        <v>2</v>
      </c>
    </row>
    <row r="206" spans="1:2">
      <c r="A206" s="15" t="s">
        <v>1952</v>
      </c>
      <c r="B206" s="15">
        <v>2</v>
      </c>
    </row>
    <row r="207" spans="1:2">
      <c r="A207" s="15" t="s">
        <v>1953</v>
      </c>
      <c r="B207" s="15">
        <v>2</v>
      </c>
    </row>
    <row r="208" spans="1:2">
      <c r="A208" s="15" t="s">
        <v>1954</v>
      </c>
      <c r="B208" s="15">
        <v>2</v>
      </c>
    </row>
    <row r="209" spans="1:2">
      <c r="A209" s="15" t="s">
        <v>1955</v>
      </c>
      <c r="B209" s="15">
        <v>2</v>
      </c>
    </row>
    <row r="210" spans="1:2">
      <c r="A210" s="15" t="s">
        <v>1956</v>
      </c>
      <c r="B210" s="15">
        <v>2</v>
      </c>
    </row>
    <row r="211" spans="1:2">
      <c r="A211" s="15" t="s">
        <v>1957</v>
      </c>
      <c r="B211" s="15">
        <v>2</v>
      </c>
    </row>
    <row r="212" spans="1:2">
      <c r="A212" s="15" t="s">
        <v>1958</v>
      </c>
      <c r="B212" s="15">
        <v>2</v>
      </c>
    </row>
    <row r="213" spans="1:2">
      <c r="A213" s="15" t="s">
        <v>1959</v>
      </c>
      <c r="B213" s="15">
        <v>2</v>
      </c>
    </row>
    <row r="214" spans="1:2">
      <c r="A214" s="15" t="s">
        <v>1960</v>
      </c>
      <c r="B214" s="15">
        <v>1</v>
      </c>
    </row>
    <row r="215" spans="1:2">
      <c r="A215" s="15" t="s">
        <v>1961</v>
      </c>
      <c r="B215" s="15">
        <v>1</v>
      </c>
    </row>
    <row r="216" spans="1:2">
      <c r="A216" s="15" t="s">
        <v>1962</v>
      </c>
      <c r="B216" s="15">
        <v>1</v>
      </c>
    </row>
    <row r="217" spans="1:2">
      <c r="A217" s="15" t="s">
        <v>1963</v>
      </c>
      <c r="B217" s="15">
        <v>1</v>
      </c>
    </row>
    <row r="218" spans="1:2">
      <c r="A218" s="15" t="s">
        <v>1964</v>
      </c>
      <c r="B218" s="15">
        <v>1</v>
      </c>
    </row>
    <row r="219" spans="1:2">
      <c r="A219" s="15" t="s">
        <v>1965</v>
      </c>
      <c r="B219" s="15">
        <v>1</v>
      </c>
    </row>
    <row r="220" spans="1:2">
      <c r="A220" s="15" t="s">
        <v>1966</v>
      </c>
      <c r="B220" s="15">
        <v>1</v>
      </c>
    </row>
    <row r="221" spans="1:2">
      <c r="A221" s="15" t="s">
        <v>1967</v>
      </c>
      <c r="B221" s="15">
        <v>1</v>
      </c>
    </row>
    <row r="222" spans="1:2">
      <c r="A222" s="15" t="s">
        <v>1968</v>
      </c>
      <c r="B222" s="15">
        <v>1</v>
      </c>
    </row>
    <row r="223" spans="1:2">
      <c r="A223" s="15" t="s">
        <v>1969</v>
      </c>
      <c r="B223" s="15">
        <v>1</v>
      </c>
    </row>
    <row r="224" spans="1:2">
      <c r="A224" s="15" t="s">
        <v>1970</v>
      </c>
      <c r="B224" s="15">
        <v>1</v>
      </c>
    </row>
    <row r="225" spans="1:2">
      <c r="A225" s="15" t="s">
        <v>1971</v>
      </c>
      <c r="B225" s="15">
        <v>1</v>
      </c>
    </row>
    <row r="226" spans="1:2">
      <c r="A226" s="15" t="s">
        <v>1972</v>
      </c>
      <c r="B226" s="15">
        <v>1</v>
      </c>
    </row>
    <row r="227" spans="1:2">
      <c r="A227" s="15" t="s">
        <v>1973</v>
      </c>
      <c r="B227" s="15">
        <v>1</v>
      </c>
    </row>
    <row r="228" spans="1:2">
      <c r="A228" s="15" t="s">
        <v>1974</v>
      </c>
      <c r="B228" s="15">
        <v>1</v>
      </c>
    </row>
    <row r="229" spans="1:2">
      <c r="A229" s="15" t="s">
        <v>1975</v>
      </c>
      <c r="B229" s="15">
        <v>1</v>
      </c>
    </row>
    <row r="230" spans="1:2">
      <c r="A230" s="15" t="s">
        <v>1976</v>
      </c>
      <c r="B230" s="15">
        <v>1</v>
      </c>
    </row>
    <row r="231" spans="1:2">
      <c r="A231" s="15" t="s">
        <v>1977</v>
      </c>
      <c r="B231" s="15">
        <v>1</v>
      </c>
    </row>
    <row r="232" spans="1:2">
      <c r="A232" s="15" t="s">
        <v>1978</v>
      </c>
      <c r="B232" s="15">
        <v>1</v>
      </c>
    </row>
    <row r="233" spans="1:2">
      <c r="A233" s="15" t="s">
        <v>1979</v>
      </c>
      <c r="B233" s="15">
        <v>1</v>
      </c>
    </row>
    <row r="234" spans="1:2">
      <c r="A234" s="15" t="s">
        <v>1980</v>
      </c>
      <c r="B234" s="15">
        <v>1</v>
      </c>
    </row>
    <row r="235" spans="1:2">
      <c r="A235" s="15" t="s">
        <v>1981</v>
      </c>
      <c r="B235" s="15">
        <v>1</v>
      </c>
    </row>
    <row r="236" spans="1:2">
      <c r="A236" s="15" t="s">
        <v>1982</v>
      </c>
      <c r="B236" s="15">
        <v>1</v>
      </c>
    </row>
    <row r="237" spans="1:2">
      <c r="A237" s="15" t="s">
        <v>1983</v>
      </c>
      <c r="B237" s="15">
        <v>1</v>
      </c>
    </row>
    <row r="238" spans="1:2">
      <c r="A238" s="15" t="s">
        <v>1984</v>
      </c>
      <c r="B238" s="15">
        <v>1</v>
      </c>
    </row>
    <row r="239" spans="1:2">
      <c r="A239" s="15" t="s">
        <v>1985</v>
      </c>
      <c r="B239" s="15">
        <v>1</v>
      </c>
    </row>
    <row r="240" spans="1:2">
      <c r="A240" s="15" t="s">
        <v>1986</v>
      </c>
      <c r="B240" s="15">
        <v>1</v>
      </c>
    </row>
    <row r="241" spans="1:2">
      <c r="A241" s="15" t="s">
        <v>1987</v>
      </c>
      <c r="B241" s="15">
        <v>1</v>
      </c>
    </row>
    <row r="242" spans="1:2">
      <c r="A242" s="15" t="s">
        <v>1988</v>
      </c>
      <c r="B242" s="15">
        <v>1</v>
      </c>
    </row>
    <row r="243" spans="1:2">
      <c r="A243" s="15" t="s">
        <v>1989</v>
      </c>
      <c r="B243" s="15">
        <v>1</v>
      </c>
    </row>
    <row r="244" spans="1:2">
      <c r="A244" s="15" t="s">
        <v>1990</v>
      </c>
      <c r="B244" s="15">
        <v>1</v>
      </c>
    </row>
    <row r="245" spans="1:2">
      <c r="A245" s="15" t="s">
        <v>1991</v>
      </c>
      <c r="B245" s="15">
        <v>1</v>
      </c>
    </row>
    <row r="246" spans="1:2">
      <c r="A246" s="15" t="s">
        <v>1992</v>
      </c>
      <c r="B246" s="15">
        <v>1</v>
      </c>
    </row>
    <row r="247" spans="1:2">
      <c r="A247" s="15" t="s">
        <v>1993</v>
      </c>
      <c r="B247" s="15">
        <v>1</v>
      </c>
    </row>
    <row r="248" spans="1:2">
      <c r="A248" s="15" t="s">
        <v>1994</v>
      </c>
      <c r="B248" s="15">
        <v>1</v>
      </c>
    </row>
    <row r="249" spans="1:2">
      <c r="A249" s="15" t="s">
        <v>1995</v>
      </c>
      <c r="B249" s="15">
        <v>1</v>
      </c>
    </row>
    <row r="250" spans="1:2">
      <c r="A250" s="15" t="s">
        <v>1996</v>
      </c>
      <c r="B250" s="15">
        <v>1</v>
      </c>
    </row>
    <row r="251" spans="1:2">
      <c r="A251" s="15" t="s">
        <v>1997</v>
      </c>
      <c r="B251" s="15">
        <v>1</v>
      </c>
    </row>
    <row r="252" spans="1:2">
      <c r="A252" s="15" t="s">
        <v>1998</v>
      </c>
      <c r="B252" s="15">
        <v>1</v>
      </c>
    </row>
    <row r="253" spans="1:2">
      <c r="A253" s="15" t="s">
        <v>1999</v>
      </c>
      <c r="B253" s="15">
        <v>1</v>
      </c>
    </row>
    <row r="254" spans="1:2">
      <c r="A254" s="15" t="s">
        <v>2000</v>
      </c>
      <c r="B254" s="15">
        <v>1</v>
      </c>
    </row>
    <row r="255" spans="1:2">
      <c r="A255" s="15" t="s">
        <v>2001</v>
      </c>
      <c r="B255" s="15">
        <v>1</v>
      </c>
    </row>
    <row r="256" spans="1:2">
      <c r="A256" s="15" t="s">
        <v>2002</v>
      </c>
      <c r="B256" s="15">
        <v>1</v>
      </c>
    </row>
    <row r="257" spans="1:2">
      <c r="A257" s="15" t="s">
        <v>2003</v>
      </c>
      <c r="B257" s="15">
        <v>1</v>
      </c>
    </row>
    <row r="258" spans="1:2">
      <c r="A258" s="15" t="s">
        <v>2004</v>
      </c>
      <c r="B258" s="15">
        <v>1</v>
      </c>
    </row>
    <row r="259" spans="1:2">
      <c r="A259" s="15" t="s">
        <v>2005</v>
      </c>
      <c r="B259" s="15">
        <v>1</v>
      </c>
    </row>
    <row r="260" spans="1:2">
      <c r="A260" s="15" t="s">
        <v>2006</v>
      </c>
      <c r="B260" s="15">
        <v>1</v>
      </c>
    </row>
    <row r="261" spans="1:2">
      <c r="A261" s="15" t="s">
        <v>2007</v>
      </c>
      <c r="B261" s="15">
        <v>1</v>
      </c>
    </row>
    <row r="262" spans="1:2">
      <c r="A262" s="15" t="s">
        <v>2008</v>
      </c>
      <c r="B262" s="15">
        <v>1</v>
      </c>
    </row>
    <row r="263" spans="1:2">
      <c r="A263" s="15" t="s">
        <v>2009</v>
      </c>
      <c r="B263" s="15">
        <v>1</v>
      </c>
    </row>
    <row r="264" spans="1:2">
      <c r="A264" s="15" t="s">
        <v>2010</v>
      </c>
      <c r="B264" s="15">
        <v>1</v>
      </c>
    </row>
    <row r="265" spans="1:2">
      <c r="A265" s="15" t="s">
        <v>2011</v>
      </c>
      <c r="B265" s="15">
        <v>1</v>
      </c>
    </row>
    <row r="266" spans="1:2">
      <c r="A266" s="15" t="s">
        <v>2012</v>
      </c>
      <c r="B266" s="15">
        <v>1</v>
      </c>
    </row>
    <row r="267" spans="1:2">
      <c r="A267" s="15" t="s">
        <v>2013</v>
      </c>
      <c r="B267" s="15">
        <v>1</v>
      </c>
    </row>
    <row r="268" spans="1:2">
      <c r="A268" s="15" t="s">
        <v>2014</v>
      </c>
      <c r="B268" s="15">
        <v>1</v>
      </c>
    </row>
    <row r="269" spans="1:2">
      <c r="A269" s="15" t="s">
        <v>2015</v>
      </c>
      <c r="B269" s="15">
        <v>1</v>
      </c>
    </row>
    <row r="270" spans="1:2">
      <c r="A270" s="15" t="s">
        <v>2016</v>
      </c>
      <c r="B270" s="15">
        <v>1</v>
      </c>
    </row>
    <row r="271" spans="1:2">
      <c r="A271" s="15" t="s">
        <v>2017</v>
      </c>
      <c r="B271" s="15">
        <v>1</v>
      </c>
    </row>
    <row r="272" spans="1:2">
      <c r="A272" s="15" t="s">
        <v>2018</v>
      </c>
      <c r="B272" s="15">
        <v>1</v>
      </c>
    </row>
    <row r="273" spans="1:2">
      <c r="A273" s="15" t="s">
        <v>2019</v>
      </c>
      <c r="B273" s="15">
        <v>1</v>
      </c>
    </row>
    <row r="274" spans="1:2">
      <c r="A274" s="15" t="s">
        <v>2020</v>
      </c>
      <c r="B274" s="15">
        <v>1</v>
      </c>
    </row>
    <row r="275" spans="1:2">
      <c r="A275" s="15" t="s">
        <v>2021</v>
      </c>
      <c r="B275" s="15">
        <v>1</v>
      </c>
    </row>
    <row r="276" spans="1:2">
      <c r="A276" s="15" t="s">
        <v>2022</v>
      </c>
      <c r="B276" s="15">
        <v>1</v>
      </c>
    </row>
    <row r="277" spans="1:2">
      <c r="A277" s="15" t="s">
        <v>2023</v>
      </c>
      <c r="B277" s="15">
        <v>1</v>
      </c>
    </row>
    <row r="278" spans="1:2">
      <c r="A278" s="15" t="s">
        <v>2024</v>
      </c>
      <c r="B278" s="15">
        <v>1</v>
      </c>
    </row>
    <row r="279" spans="1:2">
      <c r="A279" s="15" t="s">
        <v>2025</v>
      </c>
      <c r="B279" s="15">
        <v>1</v>
      </c>
    </row>
    <row r="280" spans="1:2">
      <c r="A280" s="15" t="s">
        <v>2026</v>
      </c>
      <c r="B280" s="15">
        <v>1</v>
      </c>
    </row>
    <row r="281" spans="1:2">
      <c r="A281" s="15" t="s">
        <v>2027</v>
      </c>
      <c r="B281" s="15">
        <v>1</v>
      </c>
    </row>
    <row r="282" spans="1:2">
      <c r="A282" s="15" t="s">
        <v>2028</v>
      </c>
      <c r="B282" s="15">
        <v>1</v>
      </c>
    </row>
    <row r="283" spans="1:2">
      <c r="A283" s="15" t="s">
        <v>2029</v>
      </c>
      <c r="B283" s="15">
        <v>1</v>
      </c>
    </row>
    <row r="284" spans="1:2">
      <c r="A284" s="15" t="s">
        <v>2030</v>
      </c>
      <c r="B284" s="15">
        <v>1</v>
      </c>
    </row>
    <row r="285" spans="1:2">
      <c r="A285" s="15" t="s">
        <v>2031</v>
      </c>
      <c r="B285" s="15">
        <v>1</v>
      </c>
    </row>
    <row r="286" spans="1:2">
      <c r="A286" s="15" t="s">
        <v>2032</v>
      </c>
      <c r="B286" s="15">
        <v>1</v>
      </c>
    </row>
    <row r="287" spans="1:2">
      <c r="A287" s="15" t="s">
        <v>2033</v>
      </c>
      <c r="B287" s="15">
        <v>1</v>
      </c>
    </row>
    <row r="288" spans="1:2">
      <c r="A288" s="15" t="s">
        <v>2034</v>
      </c>
      <c r="B288" s="15">
        <v>1</v>
      </c>
    </row>
    <row r="289" spans="1:2">
      <c r="A289" s="15" t="s">
        <v>2035</v>
      </c>
      <c r="B289" s="15">
        <v>1</v>
      </c>
    </row>
    <row r="290" spans="1:2">
      <c r="A290" s="15" t="s">
        <v>2036</v>
      </c>
      <c r="B290" s="15">
        <v>1</v>
      </c>
    </row>
    <row r="291" spans="1:2">
      <c r="A291" s="15" t="s">
        <v>2037</v>
      </c>
      <c r="B291" s="15">
        <v>1</v>
      </c>
    </row>
    <row r="292" spans="1:2">
      <c r="A292" s="15" t="s">
        <v>2038</v>
      </c>
      <c r="B292" s="15">
        <v>1</v>
      </c>
    </row>
    <row r="293" spans="1:2">
      <c r="A293" s="15" t="s">
        <v>2039</v>
      </c>
      <c r="B293" s="15">
        <v>1</v>
      </c>
    </row>
    <row r="294" spans="1:2">
      <c r="A294" s="15" t="s">
        <v>2040</v>
      </c>
      <c r="B294" s="15">
        <v>1</v>
      </c>
    </row>
    <row r="295" spans="1:2">
      <c r="A295" s="15" t="s">
        <v>2041</v>
      </c>
      <c r="B295" s="15">
        <v>1</v>
      </c>
    </row>
    <row r="296" spans="1:2">
      <c r="A296" s="15" t="s">
        <v>2042</v>
      </c>
      <c r="B296" s="15">
        <v>1</v>
      </c>
    </row>
    <row r="297" spans="1:2">
      <c r="A297" s="15" t="s">
        <v>2043</v>
      </c>
      <c r="B297" s="15">
        <v>1</v>
      </c>
    </row>
    <row r="298" spans="1:2">
      <c r="A298" s="15" t="s">
        <v>2044</v>
      </c>
      <c r="B298" s="15">
        <v>1</v>
      </c>
    </row>
    <row r="299" spans="1:2">
      <c r="A299" s="15" t="s">
        <v>2045</v>
      </c>
      <c r="B299" s="15">
        <v>1</v>
      </c>
    </row>
    <row r="300" spans="1:2">
      <c r="A300" s="15" t="s">
        <v>2046</v>
      </c>
      <c r="B300" s="15">
        <v>1</v>
      </c>
    </row>
    <row r="301" spans="1:2">
      <c r="A301" s="15" t="s">
        <v>2047</v>
      </c>
      <c r="B301" s="15">
        <v>1</v>
      </c>
    </row>
    <row r="302" spans="1:2">
      <c r="A302" s="15" t="s">
        <v>2048</v>
      </c>
      <c r="B302" s="15">
        <v>1</v>
      </c>
    </row>
    <row r="303" spans="1:2">
      <c r="A303" s="15" t="s">
        <v>2049</v>
      </c>
      <c r="B303" s="15">
        <v>1</v>
      </c>
    </row>
    <row r="304" spans="1:2">
      <c r="A304" s="15" t="s">
        <v>2050</v>
      </c>
      <c r="B304" s="15">
        <v>1</v>
      </c>
    </row>
    <row r="305" spans="1:2">
      <c r="A305" s="15" t="s">
        <v>2051</v>
      </c>
      <c r="B305" s="15">
        <v>1</v>
      </c>
    </row>
    <row r="306" spans="1:2">
      <c r="A306" s="15" t="s">
        <v>2052</v>
      </c>
      <c r="B306" s="15">
        <v>1</v>
      </c>
    </row>
    <row r="307" spans="1:2">
      <c r="A307" s="15" t="s">
        <v>2053</v>
      </c>
      <c r="B307" s="15">
        <v>1</v>
      </c>
    </row>
    <row r="308" spans="1:2">
      <c r="A308" s="15" t="s">
        <v>2054</v>
      </c>
      <c r="B308" s="15">
        <v>1</v>
      </c>
    </row>
    <row r="309" spans="1:2">
      <c r="A309" s="15" t="s">
        <v>2055</v>
      </c>
      <c r="B309" s="15">
        <v>1</v>
      </c>
    </row>
    <row r="310" spans="1:2">
      <c r="A310" s="15" t="s">
        <v>2056</v>
      </c>
      <c r="B310" s="15">
        <v>1</v>
      </c>
    </row>
    <row r="311" spans="1:2">
      <c r="A311" s="15" t="s">
        <v>2057</v>
      </c>
      <c r="B311" s="15">
        <v>1</v>
      </c>
    </row>
    <row r="312" spans="1:2">
      <c r="A312" s="15" t="s">
        <v>2058</v>
      </c>
      <c r="B312" s="15">
        <v>1</v>
      </c>
    </row>
    <row r="313" spans="1:2">
      <c r="A313" s="15" t="s">
        <v>2059</v>
      </c>
      <c r="B313" s="15">
        <v>1</v>
      </c>
    </row>
    <row r="314" spans="1:2">
      <c r="A314" s="15" t="s">
        <v>2060</v>
      </c>
      <c r="B314" s="15">
        <v>1</v>
      </c>
    </row>
    <row r="315" spans="1:2">
      <c r="A315" s="15" t="s">
        <v>2061</v>
      </c>
      <c r="B315" s="15">
        <v>1</v>
      </c>
    </row>
    <row r="316" spans="1:2">
      <c r="A316" s="15" t="s">
        <v>2062</v>
      </c>
      <c r="B316" s="15">
        <v>1</v>
      </c>
    </row>
    <row r="317" spans="1:2">
      <c r="A317" s="15" t="s">
        <v>2063</v>
      </c>
      <c r="B317" s="15">
        <v>1</v>
      </c>
    </row>
    <row r="318" spans="1:2">
      <c r="A318" s="15" t="s">
        <v>2064</v>
      </c>
      <c r="B318" s="15">
        <v>1</v>
      </c>
    </row>
    <row r="319" spans="1:2">
      <c r="A319" s="15" t="s">
        <v>2065</v>
      </c>
      <c r="B319" s="15">
        <v>1</v>
      </c>
    </row>
    <row r="320" spans="1:2">
      <c r="A320" s="15" t="s">
        <v>2066</v>
      </c>
      <c r="B320" s="15">
        <v>1</v>
      </c>
    </row>
    <row r="321" spans="1:2">
      <c r="A321" s="15" t="s">
        <v>2067</v>
      </c>
      <c r="B321" s="1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737D-AFC1-4743-A646-E039F4E7D187}">
  <dimension ref="A1:D234"/>
  <sheetViews>
    <sheetView topLeftCell="A67" zoomScale="145" zoomScaleNormal="145" workbookViewId="0">
      <selection activeCell="E81" sqref="E81"/>
    </sheetView>
  </sheetViews>
  <sheetFormatPr defaultColWidth="114.140625" defaultRowHeight="15"/>
  <cols>
    <col min="1" max="1" width="15.85546875" bestFit="1" customWidth="1"/>
    <col min="2" max="2" width="108.140625" customWidth="1"/>
    <col min="3" max="3" width="12" style="108" bestFit="1" customWidth="1"/>
    <col min="4" max="4" width="11.7109375" style="108" bestFit="1" customWidth="1"/>
  </cols>
  <sheetData>
    <row r="1" spans="1:4">
      <c r="A1" t="s">
        <v>2068</v>
      </c>
      <c r="B1" s="157" t="s">
        <v>1747</v>
      </c>
      <c r="C1" s="157" t="s">
        <v>2069</v>
      </c>
      <c r="D1" s="157" t="s">
        <v>2070</v>
      </c>
    </row>
    <row r="2" spans="1:4">
      <c r="A2" t="s">
        <v>182</v>
      </c>
      <c r="B2" s="15" t="s">
        <v>2071</v>
      </c>
      <c r="C2" s="173">
        <v>36</v>
      </c>
      <c r="D2" s="173">
        <v>47</v>
      </c>
    </row>
    <row r="3" spans="1:4">
      <c r="A3" t="s">
        <v>182</v>
      </c>
      <c r="B3" s="15" t="s">
        <v>2072</v>
      </c>
      <c r="C3" s="173">
        <v>36</v>
      </c>
      <c r="D3" s="173">
        <v>49</v>
      </c>
    </row>
    <row r="4" spans="1:4">
      <c r="A4" t="s">
        <v>182</v>
      </c>
      <c r="B4" s="15" t="s">
        <v>2073</v>
      </c>
      <c r="C4" s="173">
        <v>34</v>
      </c>
      <c r="D4" s="173">
        <v>45</v>
      </c>
    </row>
    <row r="5" spans="1:4">
      <c r="A5" t="s">
        <v>182</v>
      </c>
      <c r="B5" s="15" t="s">
        <v>2074</v>
      </c>
      <c r="C5" s="173">
        <v>34</v>
      </c>
      <c r="D5" s="173">
        <v>45</v>
      </c>
    </row>
    <row r="6" spans="1:4">
      <c r="A6" t="s">
        <v>182</v>
      </c>
      <c r="B6" s="15" t="s">
        <v>1819</v>
      </c>
      <c r="C6" s="173">
        <v>23</v>
      </c>
      <c r="D6" s="173">
        <v>29</v>
      </c>
    </row>
    <row r="7" spans="1:4">
      <c r="A7" t="s">
        <v>182</v>
      </c>
      <c r="B7" s="15" t="s">
        <v>2075</v>
      </c>
      <c r="C7" s="173">
        <v>20</v>
      </c>
      <c r="D7" s="173">
        <v>26</v>
      </c>
    </row>
    <row r="8" spans="1:4">
      <c r="A8" t="s">
        <v>182</v>
      </c>
      <c r="B8" s="15" t="s">
        <v>2076</v>
      </c>
      <c r="C8" s="173">
        <v>18</v>
      </c>
      <c r="D8" s="173">
        <v>24</v>
      </c>
    </row>
    <row r="9" spans="1:4">
      <c r="A9" t="s">
        <v>182</v>
      </c>
      <c r="B9" s="15" t="s">
        <v>2077</v>
      </c>
      <c r="C9" s="173">
        <v>18</v>
      </c>
      <c r="D9" s="173">
        <v>24</v>
      </c>
    </row>
    <row r="10" spans="1:4">
      <c r="A10" t="s">
        <v>182</v>
      </c>
      <c r="B10" s="15" t="s">
        <v>2078</v>
      </c>
      <c r="C10" s="173">
        <v>16</v>
      </c>
      <c r="D10" s="173">
        <v>21</v>
      </c>
    </row>
    <row r="11" spans="1:4">
      <c r="A11" t="s">
        <v>182</v>
      </c>
      <c r="B11" s="15" t="s">
        <v>2079</v>
      </c>
      <c r="C11" s="173">
        <v>16</v>
      </c>
      <c r="D11" s="173">
        <v>21</v>
      </c>
    </row>
    <row r="12" spans="1:4">
      <c r="A12" t="s">
        <v>182</v>
      </c>
      <c r="B12" s="15" t="s">
        <v>1908</v>
      </c>
      <c r="C12" s="173">
        <v>16</v>
      </c>
      <c r="D12" s="173">
        <v>20</v>
      </c>
    </row>
    <row r="13" spans="1:4">
      <c r="A13" t="s">
        <v>182</v>
      </c>
      <c r="B13" s="15" t="s">
        <v>2080</v>
      </c>
      <c r="C13" s="173">
        <v>16</v>
      </c>
      <c r="D13" s="173">
        <v>21</v>
      </c>
    </row>
    <row r="14" spans="1:4">
      <c r="A14" t="s">
        <v>182</v>
      </c>
      <c r="B14" s="15" t="s">
        <v>2081</v>
      </c>
      <c r="C14" s="173">
        <v>15</v>
      </c>
      <c r="D14" s="173">
        <v>21</v>
      </c>
    </row>
    <row r="15" spans="1:4">
      <c r="A15" t="s">
        <v>182</v>
      </c>
      <c r="B15" s="15" t="s">
        <v>1904</v>
      </c>
      <c r="C15" s="173">
        <v>15</v>
      </c>
      <c r="D15" s="173">
        <v>19</v>
      </c>
    </row>
    <row r="16" spans="1:4">
      <c r="A16" t="s">
        <v>182</v>
      </c>
      <c r="B16" s="15" t="s">
        <v>2082</v>
      </c>
      <c r="C16" s="173">
        <v>12</v>
      </c>
      <c r="D16" s="173">
        <v>16</v>
      </c>
    </row>
    <row r="17" spans="1:4">
      <c r="A17" t="s">
        <v>182</v>
      </c>
      <c r="B17" s="15" t="s">
        <v>1834</v>
      </c>
      <c r="C17" s="173">
        <v>12</v>
      </c>
      <c r="D17" s="173">
        <v>16</v>
      </c>
    </row>
    <row r="18" spans="1:4">
      <c r="A18" t="s">
        <v>182</v>
      </c>
      <c r="B18" s="15" t="s">
        <v>2083</v>
      </c>
      <c r="C18" s="173">
        <v>12</v>
      </c>
      <c r="D18" s="173">
        <v>17</v>
      </c>
    </row>
    <row r="19" spans="1:4">
      <c r="A19" t="s">
        <v>182</v>
      </c>
      <c r="B19" s="15" t="s">
        <v>1922</v>
      </c>
      <c r="C19" s="173">
        <v>8</v>
      </c>
      <c r="D19" s="173">
        <v>11</v>
      </c>
    </row>
    <row r="20" spans="1:4">
      <c r="A20" t="s">
        <v>182</v>
      </c>
      <c r="B20" s="15" t="s">
        <v>2084</v>
      </c>
      <c r="C20" s="173">
        <v>7</v>
      </c>
      <c r="D20" s="173">
        <v>11</v>
      </c>
    </row>
    <row r="21" spans="1:4">
      <c r="A21" t="s">
        <v>182</v>
      </c>
      <c r="B21" s="15" t="s">
        <v>1850</v>
      </c>
      <c r="C21" s="173">
        <v>4</v>
      </c>
      <c r="D21" s="173">
        <v>4</v>
      </c>
    </row>
    <row r="22" spans="1:4">
      <c r="A22" t="s">
        <v>182</v>
      </c>
      <c r="B22" s="15" t="s">
        <v>2085</v>
      </c>
      <c r="C22" s="173">
        <v>4</v>
      </c>
      <c r="D22" s="173">
        <v>6</v>
      </c>
    </row>
    <row r="23" spans="1:4">
      <c r="A23" t="s">
        <v>182</v>
      </c>
      <c r="B23" s="15" t="s">
        <v>2086</v>
      </c>
      <c r="C23" s="173">
        <v>4</v>
      </c>
      <c r="D23" s="173">
        <v>6</v>
      </c>
    </row>
    <row r="24" spans="1:4">
      <c r="A24" t="s">
        <v>182</v>
      </c>
      <c r="B24" s="15" t="s">
        <v>2087</v>
      </c>
      <c r="C24" s="173">
        <v>4</v>
      </c>
      <c r="D24" s="173">
        <v>6</v>
      </c>
    </row>
    <row r="25" spans="1:4">
      <c r="A25" t="s">
        <v>182</v>
      </c>
      <c r="B25" s="15" t="s">
        <v>2088</v>
      </c>
      <c r="C25" s="173">
        <v>4</v>
      </c>
      <c r="D25" s="173">
        <v>6</v>
      </c>
    </row>
    <row r="26" spans="1:4">
      <c r="A26" t="s">
        <v>182</v>
      </c>
      <c r="B26" s="15" t="s">
        <v>2089</v>
      </c>
      <c r="C26" s="173">
        <v>4</v>
      </c>
      <c r="D26" s="173">
        <v>6</v>
      </c>
    </row>
    <row r="27" spans="1:4">
      <c r="A27" t="s">
        <v>182</v>
      </c>
      <c r="B27" s="15" t="s">
        <v>2090</v>
      </c>
      <c r="C27" s="173">
        <v>4</v>
      </c>
      <c r="D27" s="173">
        <v>6</v>
      </c>
    </row>
    <row r="28" spans="1:4">
      <c r="A28" t="s">
        <v>182</v>
      </c>
      <c r="B28" s="15" t="s">
        <v>2091</v>
      </c>
      <c r="C28" s="173">
        <v>3</v>
      </c>
      <c r="D28" s="173">
        <v>3</v>
      </c>
    </row>
    <row r="29" spans="1:4">
      <c r="A29" t="s">
        <v>182</v>
      </c>
      <c r="B29" s="15" t="s">
        <v>2092</v>
      </c>
      <c r="C29" s="173">
        <v>3</v>
      </c>
      <c r="D29" s="173">
        <v>3</v>
      </c>
    </row>
    <row r="30" spans="1:4">
      <c r="A30" t="s">
        <v>182</v>
      </c>
      <c r="B30" s="15" t="s">
        <v>2093</v>
      </c>
      <c r="C30" s="173">
        <v>3</v>
      </c>
      <c r="D30" s="173">
        <v>3</v>
      </c>
    </row>
    <row r="31" spans="1:4">
      <c r="A31" t="s">
        <v>182</v>
      </c>
      <c r="B31" s="15" t="s">
        <v>2094</v>
      </c>
      <c r="C31" s="173">
        <v>3</v>
      </c>
      <c r="D31" s="173">
        <v>3</v>
      </c>
    </row>
    <row r="32" spans="1:4">
      <c r="A32" t="s">
        <v>182</v>
      </c>
      <c r="B32" s="15" t="s">
        <v>2095</v>
      </c>
      <c r="C32" s="173">
        <v>3</v>
      </c>
      <c r="D32" s="173">
        <v>3</v>
      </c>
    </row>
    <row r="33" spans="1:4">
      <c r="A33" t="s">
        <v>182</v>
      </c>
      <c r="B33" s="15" t="s">
        <v>2008</v>
      </c>
      <c r="C33" s="173">
        <v>3</v>
      </c>
      <c r="D33" s="173">
        <v>3</v>
      </c>
    </row>
    <row r="34" spans="1:4">
      <c r="A34" t="s">
        <v>182</v>
      </c>
      <c r="B34" s="15" t="s">
        <v>2096</v>
      </c>
      <c r="C34" s="173">
        <v>3</v>
      </c>
      <c r="D34" s="173">
        <v>3</v>
      </c>
    </row>
    <row r="35" spans="1:4">
      <c r="A35" t="s">
        <v>182</v>
      </c>
      <c r="B35" s="15" t="s">
        <v>2038</v>
      </c>
      <c r="C35" s="173">
        <v>3</v>
      </c>
      <c r="D35" s="173">
        <v>3</v>
      </c>
    </row>
    <row r="36" spans="1:4">
      <c r="A36" t="s">
        <v>182</v>
      </c>
      <c r="B36" s="15" t="s">
        <v>2097</v>
      </c>
      <c r="C36" s="173">
        <v>3</v>
      </c>
      <c r="D36" s="173">
        <v>3</v>
      </c>
    </row>
    <row r="37" spans="1:4">
      <c r="A37" t="s">
        <v>182</v>
      </c>
      <c r="B37" s="15" t="s">
        <v>2098</v>
      </c>
      <c r="C37" s="173">
        <v>2</v>
      </c>
      <c r="D37" s="173">
        <v>4</v>
      </c>
    </row>
    <row r="38" spans="1:4">
      <c r="A38" t="s">
        <v>182</v>
      </c>
      <c r="B38" s="15" t="s">
        <v>2099</v>
      </c>
      <c r="C38" s="173">
        <v>2</v>
      </c>
      <c r="D38" s="173">
        <v>2</v>
      </c>
    </row>
    <row r="39" spans="1:4">
      <c r="A39" t="s">
        <v>182</v>
      </c>
      <c r="B39" s="15" t="s">
        <v>2100</v>
      </c>
      <c r="C39" s="173">
        <v>2</v>
      </c>
      <c r="D39" s="173">
        <v>4</v>
      </c>
    </row>
    <row r="40" spans="1:4">
      <c r="A40" t="s">
        <v>182</v>
      </c>
      <c r="B40" s="15" t="s">
        <v>2101</v>
      </c>
      <c r="C40" s="173">
        <v>2</v>
      </c>
      <c r="D40" s="173">
        <v>2</v>
      </c>
    </row>
    <row r="41" spans="1:4">
      <c r="A41" t="s">
        <v>182</v>
      </c>
      <c r="B41" s="15" t="s">
        <v>1897</v>
      </c>
      <c r="C41" s="173">
        <v>2</v>
      </c>
      <c r="D41" s="173">
        <v>2</v>
      </c>
    </row>
    <row r="42" spans="1:4">
      <c r="A42" t="s">
        <v>182</v>
      </c>
      <c r="B42" s="15" t="s">
        <v>2102</v>
      </c>
      <c r="C42" s="173">
        <v>2</v>
      </c>
      <c r="D42" s="173">
        <v>2</v>
      </c>
    </row>
    <row r="43" spans="1:4">
      <c r="A43" t="s">
        <v>182</v>
      </c>
      <c r="B43" s="15" t="s">
        <v>1933</v>
      </c>
      <c r="C43" s="173">
        <v>2</v>
      </c>
      <c r="D43" s="173">
        <v>2</v>
      </c>
    </row>
    <row r="44" spans="1:4">
      <c r="A44" t="s">
        <v>182</v>
      </c>
      <c r="B44" s="15" t="s">
        <v>2103</v>
      </c>
      <c r="C44" s="173">
        <v>2</v>
      </c>
      <c r="D44" s="173">
        <v>2</v>
      </c>
    </row>
    <row r="45" spans="1:4">
      <c r="A45" t="s">
        <v>182</v>
      </c>
      <c r="B45" s="15" t="s">
        <v>2104</v>
      </c>
      <c r="C45" s="173">
        <v>2</v>
      </c>
      <c r="D45" s="173">
        <v>4</v>
      </c>
    </row>
    <row r="46" spans="1:4">
      <c r="A46" t="s">
        <v>182</v>
      </c>
      <c r="B46" s="15" t="s">
        <v>2105</v>
      </c>
      <c r="C46" s="173">
        <v>2</v>
      </c>
      <c r="D46" s="173">
        <v>2</v>
      </c>
    </row>
    <row r="47" spans="1:4">
      <c r="A47" t="s">
        <v>182</v>
      </c>
      <c r="B47" s="15" t="s">
        <v>1887</v>
      </c>
      <c r="C47" s="173">
        <v>2</v>
      </c>
      <c r="D47" s="173">
        <v>2</v>
      </c>
    </row>
    <row r="48" spans="1:4">
      <c r="A48" t="s">
        <v>182</v>
      </c>
      <c r="B48" s="15" t="s">
        <v>2106</v>
      </c>
      <c r="C48" s="173">
        <v>2</v>
      </c>
      <c r="D48" s="173">
        <v>2</v>
      </c>
    </row>
    <row r="49" spans="1:4">
      <c r="A49" t="s">
        <v>182</v>
      </c>
      <c r="B49" s="15" t="s">
        <v>2033</v>
      </c>
      <c r="C49" s="173">
        <v>2</v>
      </c>
      <c r="D49" s="173">
        <v>2</v>
      </c>
    </row>
    <row r="50" spans="1:4">
      <c r="A50" t="s">
        <v>182</v>
      </c>
      <c r="B50" s="15" t="s">
        <v>2107</v>
      </c>
      <c r="C50" s="173">
        <v>2</v>
      </c>
      <c r="D50" s="173">
        <v>2</v>
      </c>
    </row>
    <row r="51" spans="1:4">
      <c r="A51" t="s">
        <v>182</v>
      </c>
      <c r="B51" s="15" t="s">
        <v>2108</v>
      </c>
      <c r="C51" s="173">
        <v>2</v>
      </c>
      <c r="D51" s="173">
        <v>2</v>
      </c>
    </row>
    <row r="52" spans="1:4">
      <c r="A52" t="s">
        <v>182</v>
      </c>
      <c r="B52" s="15" t="s">
        <v>2109</v>
      </c>
      <c r="C52" s="173">
        <v>2</v>
      </c>
      <c r="D52" s="173">
        <v>2</v>
      </c>
    </row>
    <row r="53" spans="1:4">
      <c r="A53" t="s">
        <v>182</v>
      </c>
      <c r="B53" s="15" t="s">
        <v>2110</v>
      </c>
      <c r="C53" s="173">
        <v>2</v>
      </c>
      <c r="D53" s="173">
        <v>2</v>
      </c>
    </row>
    <row r="54" spans="1:4">
      <c r="A54" t="s">
        <v>182</v>
      </c>
      <c r="B54" s="15" t="s">
        <v>2111</v>
      </c>
      <c r="C54" s="173">
        <v>2</v>
      </c>
      <c r="D54" s="173">
        <v>2</v>
      </c>
    </row>
    <row r="55" spans="1:4">
      <c r="A55" t="s">
        <v>182</v>
      </c>
      <c r="B55" s="15" t="s">
        <v>2112</v>
      </c>
      <c r="C55" s="173">
        <v>2</v>
      </c>
      <c r="D55" s="173">
        <v>4</v>
      </c>
    </row>
    <row r="56" spans="1:4">
      <c r="A56" t="s">
        <v>182</v>
      </c>
      <c r="B56" s="15" t="s">
        <v>1792</v>
      </c>
      <c r="C56" s="173">
        <v>1</v>
      </c>
      <c r="D56" s="173">
        <v>1</v>
      </c>
    </row>
    <row r="57" spans="1:4">
      <c r="A57" t="s">
        <v>182</v>
      </c>
      <c r="B57" s="15" t="s">
        <v>1841</v>
      </c>
      <c r="C57" s="173">
        <v>1</v>
      </c>
      <c r="D57" s="173">
        <v>1</v>
      </c>
    </row>
    <row r="58" spans="1:4">
      <c r="A58" t="s">
        <v>182</v>
      </c>
      <c r="B58" s="15" t="s">
        <v>2113</v>
      </c>
      <c r="C58" s="173">
        <v>1</v>
      </c>
      <c r="D58" s="173">
        <v>2</v>
      </c>
    </row>
    <row r="59" spans="1:4">
      <c r="A59" t="s">
        <v>182</v>
      </c>
      <c r="B59" s="15" t="s">
        <v>2114</v>
      </c>
      <c r="C59" s="173">
        <v>1</v>
      </c>
      <c r="D59" s="173">
        <v>1</v>
      </c>
    </row>
    <row r="60" spans="1:4">
      <c r="A60" t="s">
        <v>182</v>
      </c>
      <c r="B60" s="15" t="s">
        <v>1940</v>
      </c>
      <c r="C60" s="173">
        <v>1</v>
      </c>
      <c r="D60" s="173">
        <v>1</v>
      </c>
    </row>
    <row r="61" spans="1:4">
      <c r="A61" t="s">
        <v>182</v>
      </c>
      <c r="B61" s="15" t="s">
        <v>2115</v>
      </c>
      <c r="C61" s="173">
        <v>1</v>
      </c>
      <c r="D61" s="173">
        <v>2</v>
      </c>
    </row>
    <row r="62" spans="1:4">
      <c r="A62" t="s">
        <v>182</v>
      </c>
      <c r="B62" s="15" t="s">
        <v>2000</v>
      </c>
      <c r="C62" s="173">
        <v>1</v>
      </c>
      <c r="D62" s="173">
        <v>1</v>
      </c>
    </row>
    <row r="63" spans="1:4">
      <c r="A63" t="s">
        <v>182</v>
      </c>
      <c r="B63" s="15" t="s">
        <v>2116</v>
      </c>
      <c r="C63" s="173">
        <v>1</v>
      </c>
      <c r="D63" s="173">
        <v>1</v>
      </c>
    </row>
    <row r="64" spans="1:4">
      <c r="A64" t="s">
        <v>182</v>
      </c>
      <c r="B64" s="15" t="s">
        <v>1942</v>
      </c>
      <c r="C64" s="173">
        <v>1</v>
      </c>
      <c r="D64" s="173">
        <v>1</v>
      </c>
    </row>
    <row r="65" spans="1:4">
      <c r="A65" t="s">
        <v>182</v>
      </c>
      <c r="B65" s="15" t="s">
        <v>1794</v>
      </c>
      <c r="C65" s="173">
        <v>1</v>
      </c>
      <c r="D65" s="173">
        <v>1</v>
      </c>
    </row>
    <row r="66" spans="1:4">
      <c r="A66" t="s">
        <v>182</v>
      </c>
      <c r="B66" s="15" t="s">
        <v>2117</v>
      </c>
      <c r="C66" s="173">
        <v>1</v>
      </c>
      <c r="D66" s="173">
        <v>1</v>
      </c>
    </row>
    <row r="67" spans="1:4">
      <c r="A67" t="s">
        <v>182</v>
      </c>
      <c r="B67" s="15" t="s">
        <v>2034</v>
      </c>
      <c r="C67" s="173">
        <v>1</v>
      </c>
      <c r="D67" s="173">
        <v>1</v>
      </c>
    </row>
    <row r="68" spans="1:4">
      <c r="A68" t="s">
        <v>182</v>
      </c>
      <c r="B68" s="15" t="s">
        <v>1945</v>
      </c>
      <c r="C68" s="173">
        <v>1</v>
      </c>
      <c r="D68" s="173">
        <v>2</v>
      </c>
    </row>
    <row r="69" spans="1:4">
      <c r="A69" t="s">
        <v>182</v>
      </c>
      <c r="B69" s="15" t="s">
        <v>1848</v>
      </c>
      <c r="C69" s="173">
        <v>1</v>
      </c>
      <c r="D69" s="173">
        <v>1</v>
      </c>
    </row>
    <row r="70" spans="1:4">
      <c r="A70" t="s">
        <v>182</v>
      </c>
      <c r="B70" s="15" t="s">
        <v>2118</v>
      </c>
      <c r="C70" s="173">
        <v>1</v>
      </c>
      <c r="D70" s="173">
        <v>1</v>
      </c>
    </row>
    <row r="71" spans="1:4">
      <c r="A71" t="s">
        <v>182</v>
      </c>
      <c r="B71" s="15" t="s">
        <v>2062</v>
      </c>
      <c r="C71" s="173">
        <v>1</v>
      </c>
      <c r="D71" s="173">
        <v>1</v>
      </c>
    </row>
    <row r="72" spans="1:4">
      <c r="A72" t="s">
        <v>9</v>
      </c>
      <c r="B72" s="15" t="s">
        <v>2119</v>
      </c>
      <c r="C72" s="173">
        <v>155</v>
      </c>
      <c r="D72" s="173">
        <v>169</v>
      </c>
    </row>
    <row r="73" spans="1:4">
      <c r="A73" t="s">
        <v>9</v>
      </c>
      <c r="B73" s="15" t="s">
        <v>2120</v>
      </c>
      <c r="C73" s="173">
        <v>151</v>
      </c>
      <c r="D73" s="173">
        <v>164</v>
      </c>
    </row>
    <row r="74" spans="1:4">
      <c r="A74" t="s">
        <v>9</v>
      </c>
      <c r="B74" s="15" t="s">
        <v>1754</v>
      </c>
      <c r="C74" s="173">
        <v>146</v>
      </c>
      <c r="D74" s="173">
        <v>174</v>
      </c>
    </row>
    <row r="75" spans="1:4">
      <c r="A75" t="s">
        <v>9</v>
      </c>
      <c r="B75" s="15" t="s">
        <v>2121</v>
      </c>
      <c r="C75" s="173">
        <v>113</v>
      </c>
      <c r="D75" s="173">
        <v>128</v>
      </c>
    </row>
    <row r="76" spans="1:4">
      <c r="A76" t="s">
        <v>9</v>
      </c>
      <c r="B76" s="15" t="s">
        <v>2122</v>
      </c>
      <c r="C76" s="173">
        <v>113</v>
      </c>
      <c r="D76" s="173">
        <v>128</v>
      </c>
    </row>
    <row r="77" spans="1:4">
      <c r="A77" t="s">
        <v>9</v>
      </c>
      <c r="B77" s="15" t="s">
        <v>2123</v>
      </c>
      <c r="C77" s="173">
        <v>113</v>
      </c>
      <c r="D77" s="173">
        <v>128</v>
      </c>
    </row>
    <row r="78" spans="1:4">
      <c r="A78" t="s">
        <v>9</v>
      </c>
      <c r="B78" s="15" t="s">
        <v>2073</v>
      </c>
      <c r="C78" s="173">
        <v>110</v>
      </c>
      <c r="D78" s="173">
        <v>132</v>
      </c>
    </row>
    <row r="79" spans="1:4">
      <c r="A79" t="s">
        <v>9</v>
      </c>
      <c r="B79" s="15" t="s">
        <v>2081</v>
      </c>
      <c r="C79" s="173">
        <v>110</v>
      </c>
      <c r="D79" s="173">
        <v>132</v>
      </c>
    </row>
    <row r="80" spans="1:4">
      <c r="A80" t="s">
        <v>9</v>
      </c>
      <c r="B80" s="15" t="s">
        <v>2124</v>
      </c>
      <c r="C80" s="173">
        <v>110</v>
      </c>
      <c r="D80" s="173">
        <v>132</v>
      </c>
    </row>
    <row r="81" spans="1:4">
      <c r="A81" t="s">
        <v>9</v>
      </c>
      <c r="B81" s="15" t="s">
        <v>2125</v>
      </c>
      <c r="C81" s="173">
        <v>110</v>
      </c>
      <c r="D81" s="173">
        <v>132</v>
      </c>
    </row>
    <row r="82" spans="1:4">
      <c r="A82" t="s">
        <v>9</v>
      </c>
      <c r="B82" s="15" t="s">
        <v>2077</v>
      </c>
      <c r="C82" s="173">
        <v>110</v>
      </c>
      <c r="D82" s="173">
        <v>132</v>
      </c>
    </row>
    <row r="83" spans="1:4">
      <c r="A83" t="s">
        <v>9</v>
      </c>
      <c r="B83" s="15" t="s">
        <v>2072</v>
      </c>
      <c r="C83" s="173">
        <v>110</v>
      </c>
      <c r="D83" s="173">
        <v>132</v>
      </c>
    </row>
    <row r="84" spans="1:4">
      <c r="A84" t="s">
        <v>9</v>
      </c>
      <c r="B84" s="15" t="s">
        <v>2126</v>
      </c>
      <c r="C84" s="173">
        <v>107</v>
      </c>
      <c r="D84" s="173">
        <v>120</v>
      </c>
    </row>
    <row r="85" spans="1:4">
      <c r="A85" t="s">
        <v>9</v>
      </c>
      <c r="B85" s="15" t="s">
        <v>2127</v>
      </c>
      <c r="C85" s="173">
        <v>105</v>
      </c>
      <c r="D85" s="173">
        <v>122</v>
      </c>
    </row>
    <row r="86" spans="1:4">
      <c r="A86" t="s">
        <v>9</v>
      </c>
      <c r="B86" s="15" t="s">
        <v>2128</v>
      </c>
      <c r="C86" s="173">
        <v>105</v>
      </c>
      <c r="D86" s="173">
        <v>122</v>
      </c>
    </row>
    <row r="87" spans="1:4">
      <c r="A87" t="s">
        <v>9</v>
      </c>
      <c r="B87" s="15" t="s">
        <v>2076</v>
      </c>
      <c r="C87" s="173">
        <v>95</v>
      </c>
      <c r="D87" s="173">
        <v>117</v>
      </c>
    </row>
    <row r="88" spans="1:4">
      <c r="A88" t="s">
        <v>9</v>
      </c>
      <c r="B88" s="15" t="s">
        <v>2129</v>
      </c>
      <c r="C88" s="173">
        <v>70</v>
      </c>
      <c r="D88" s="173">
        <v>78</v>
      </c>
    </row>
    <row r="89" spans="1:4">
      <c r="A89" t="s">
        <v>9</v>
      </c>
      <c r="B89" s="15" t="s">
        <v>2075</v>
      </c>
      <c r="C89" s="173">
        <v>66</v>
      </c>
      <c r="D89" s="173">
        <v>82</v>
      </c>
    </row>
    <row r="90" spans="1:4">
      <c r="A90" t="s">
        <v>9</v>
      </c>
      <c r="B90" s="15" t="s">
        <v>2130</v>
      </c>
      <c r="C90" s="173">
        <v>54</v>
      </c>
      <c r="D90" s="173">
        <v>59</v>
      </c>
    </row>
    <row r="91" spans="1:4">
      <c r="A91" t="s">
        <v>9</v>
      </c>
      <c r="B91" s="15" t="s">
        <v>1819</v>
      </c>
      <c r="C91" s="173">
        <v>29</v>
      </c>
      <c r="D91" s="173">
        <v>29</v>
      </c>
    </row>
    <row r="92" spans="1:4">
      <c r="A92" t="s">
        <v>9</v>
      </c>
      <c r="B92" s="15" t="s">
        <v>2131</v>
      </c>
      <c r="C92" s="173">
        <v>20</v>
      </c>
      <c r="D92" s="173">
        <v>26</v>
      </c>
    </row>
    <row r="93" spans="1:4">
      <c r="A93" t="s">
        <v>9</v>
      </c>
      <c r="B93" s="15" t="s">
        <v>2084</v>
      </c>
      <c r="C93" s="173">
        <v>17</v>
      </c>
      <c r="D93" s="173">
        <v>21</v>
      </c>
    </row>
    <row r="94" spans="1:4">
      <c r="A94" t="s">
        <v>9</v>
      </c>
      <c r="B94" s="15" t="s">
        <v>2132</v>
      </c>
      <c r="C94" s="173">
        <v>17</v>
      </c>
      <c r="D94" s="173">
        <v>21</v>
      </c>
    </row>
    <row r="95" spans="1:4">
      <c r="A95" t="s">
        <v>9</v>
      </c>
      <c r="B95" s="15" t="s">
        <v>2133</v>
      </c>
      <c r="C95" s="173">
        <v>17</v>
      </c>
      <c r="D95" s="173">
        <v>21</v>
      </c>
    </row>
    <row r="96" spans="1:4">
      <c r="A96" t="s">
        <v>9</v>
      </c>
      <c r="B96" s="15" t="s">
        <v>2134</v>
      </c>
      <c r="C96" s="173">
        <v>15</v>
      </c>
      <c r="D96" s="173">
        <v>15</v>
      </c>
    </row>
    <row r="97" spans="1:4">
      <c r="A97" t="s">
        <v>9</v>
      </c>
      <c r="B97" s="15" t="s">
        <v>1834</v>
      </c>
      <c r="C97" s="173">
        <v>15</v>
      </c>
      <c r="D97" s="173">
        <v>15</v>
      </c>
    </row>
    <row r="98" spans="1:4">
      <c r="A98" t="s">
        <v>9</v>
      </c>
      <c r="B98" s="15" t="s">
        <v>2135</v>
      </c>
      <c r="C98" s="173">
        <v>15</v>
      </c>
      <c r="D98" s="173">
        <v>15</v>
      </c>
    </row>
    <row r="99" spans="1:4">
      <c r="A99" t="s">
        <v>9</v>
      </c>
      <c r="B99" s="15" t="s">
        <v>2136</v>
      </c>
      <c r="C99" s="173">
        <v>14</v>
      </c>
      <c r="D99" s="173">
        <v>16</v>
      </c>
    </row>
    <row r="100" spans="1:4">
      <c r="A100" t="s">
        <v>9</v>
      </c>
      <c r="B100" s="15" t="s">
        <v>2137</v>
      </c>
      <c r="C100" s="173">
        <v>13</v>
      </c>
      <c r="D100" s="173">
        <v>15</v>
      </c>
    </row>
    <row r="101" spans="1:4">
      <c r="A101" t="s">
        <v>9</v>
      </c>
      <c r="B101" s="15" t="s">
        <v>2138</v>
      </c>
      <c r="C101" s="173">
        <v>13</v>
      </c>
      <c r="D101" s="173">
        <v>15</v>
      </c>
    </row>
    <row r="102" spans="1:4">
      <c r="A102" t="s">
        <v>9</v>
      </c>
      <c r="B102" s="15" t="s">
        <v>2139</v>
      </c>
      <c r="C102" s="173">
        <v>13</v>
      </c>
      <c r="D102" s="173">
        <v>15</v>
      </c>
    </row>
    <row r="103" spans="1:4">
      <c r="A103" t="s">
        <v>9</v>
      </c>
      <c r="B103" s="15" t="s">
        <v>2140</v>
      </c>
      <c r="C103" s="173">
        <v>13</v>
      </c>
      <c r="D103" s="173">
        <v>20</v>
      </c>
    </row>
    <row r="104" spans="1:4">
      <c r="A104" t="s">
        <v>9</v>
      </c>
      <c r="B104" s="15" t="s">
        <v>2141</v>
      </c>
      <c r="C104" s="173">
        <v>13</v>
      </c>
      <c r="D104" s="173">
        <v>15</v>
      </c>
    </row>
    <row r="105" spans="1:4">
      <c r="A105" t="s">
        <v>9</v>
      </c>
      <c r="B105" s="15" t="s">
        <v>1850</v>
      </c>
      <c r="C105" s="173">
        <v>12</v>
      </c>
      <c r="D105" s="173">
        <v>13</v>
      </c>
    </row>
    <row r="106" spans="1:4">
      <c r="A106" t="s">
        <v>9</v>
      </c>
      <c r="B106" s="15" t="s">
        <v>2142</v>
      </c>
      <c r="C106" s="173">
        <v>12</v>
      </c>
      <c r="D106" s="173">
        <v>18</v>
      </c>
    </row>
    <row r="107" spans="1:4">
      <c r="A107" t="s">
        <v>9</v>
      </c>
      <c r="B107" s="15" t="s">
        <v>2143</v>
      </c>
      <c r="C107" s="173">
        <v>12</v>
      </c>
      <c r="D107" s="173">
        <v>13</v>
      </c>
    </row>
    <row r="108" spans="1:4">
      <c r="A108" t="s">
        <v>9</v>
      </c>
      <c r="B108" s="15" t="s">
        <v>2144</v>
      </c>
      <c r="C108" s="173">
        <v>12</v>
      </c>
      <c r="D108" s="173">
        <v>13</v>
      </c>
    </row>
    <row r="109" spans="1:4">
      <c r="A109" t="s">
        <v>9</v>
      </c>
      <c r="B109" s="15" t="s">
        <v>2145</v>
      </c>
      <c r="C109" s="173">
        <v>12</v>
      </c>
      <c r="D109" s="173">
        <v>13</v>
      </c>
    </row>
    <row r="110" spans="1:4">
      <c r="A110" t="s">
        <v>9</v>
      </c>
      <c r="B110" s="15" t="s">
        <v>2146</v>
      </c>
      <c r="C110" s="173">
        <v>12</v>
      </c>
      <c r="D110" s="173">
        <v>13</v>
      </c>
    </row>
    <row r="111" spans="1:4">
      <c r="A111" t="s">
        <v>9</v>
      </c>
      <c r="B111" s="15" t="s">
        <v>2147</v>
      </c>
      <c r="C111" s="173">
        <v>12</v>
      </c>
      <c r="D111" s="173">
        <v>13</v>
      </c>
    </row>
    <row r="112" spans="1:4">
      <c r="A112" t="s">
        <v>9</v>
      </c>
      <c r="B112" s="15" t="s">
        <v>2148</v>
      </c>
      <c r="C112" s="173">
        <v>12</v>
      </c>
      <c r="D112" s="173">
        <v>13</v>
      </c>
    </row>
    <row r="113" spans="1:4">
      <c r="A113" t="s">
        <v>9</v>
      </c>
      <c r="B113" s="15" t="s">
        <v>1476</v>
      </c>
      <c r="C113" s="173">
        <v>11</v>
      </c>
      <c r="D113" s="173">
        <v>14</v>
      </c>
    </row>
    <row r="114" spans="1:4">
      <c r="A114" t="s">
        <v>9</v>
      </c>
      <c r="B114" s="15" t="s">
        <v>1792</v>
      </c>
      <c r="C114" s="173">
        <v>11</v>
      </c>
      <c r="D114" s="173">
        <v>11</v>
      </c>
    </row>
    <row r="115" spans="1:4">
      <c r="A115" t="s">
        <v>9</v>
      </c>
      <c r="B115" s="15" t="s">
        <v>1794</v>
      </c>
      <c r="C115" s="173">
        <v>11</v>
      </c>
      <c r="D115" s="173">
        <v>11</v>
      </c>
    </row>
    <row r="116" spans="1:4">
      <c r="A116" t="s">
        <v>9</v>
      </c>
      <c r="B116" s="15" t="s">
        <v>1904</v>
      </c>
      <c r="C116" s="173">
        <v>11</v>
      </c>
      <c r="D116" s="173">
        <v>11</v>
      </c>
    </row>
    <row r="117" spans="1:4">
      <c r="A117" t="s">
        <v>9</v>
      </c>
      <c r="B117" s="15" t="s">
        <v>2149</v>
      </c>
      <c r="C117" s="173">
        <v>11</v>
      </c>
      <c r="D117" s="173">
        <v>12</v>
      </c>
    </row>
    <row r="118" spans="1:4">
      <c r="A118" t="s">
        <v>9</v>
      </c>
      <c r="B118" s="15" t="s">
        <v>2150</v>
      </c>
      <c r="C118" s="173">
        <v>10</v>
      </c>
      <c r="D118" s="173">
        <v>13</v>
      </c>
    </row>
    <row r="119" spans="1:4">
      <c r="A119" t="s">
        <v>9</v>
      </c>
      <c r="B119" s="15" t="s">
        <v>1908</v>
      </c>
      <c r="C119" s="173">
        <v>10</v>
      </c>
      <c r="D119" s="173">
        <v>10</v>
      </c>
    </row>
    <row r="120" spans="1:4">
      <c r="A120" t="s">
        <v>9</v>
      </c>
      <c r="B120" s="15" t="s">
        <v>2151</v>
      </c>
      <c r="C120" s="173">
        <v>10</v>
      </c>
      <c r="D120" s="173">
        <v>12</v>
      </c>
    </row>
    <row r="121" spans="1:4">
      <c r="A121" t="s">
        <v>9</v>
      </c>
      <c r="B121" s="15" t="s">
        <v>2152</v>
      </c>
      <c r="C121" s="173">
        <v>10</v>
      </c>
      <c r="D121" s="173">
        <v>13</v>
      </c>
    </row>
    <row r="122" spans="1:4">
      <c r="A122" t="s">
        <v>9</v>
      </c>
      <c r="B122" s="15" t="s">
        <v>2153</v>
      </c>
      <c r="C122" s="173">
        <v>10</v>
      </c>
      <c r="D122" s="173">
        <v>12</v>
      </c>
    </row>
    <row r="123" spans="1:4">
      <c r="A123" t="s">
        <v>9</v>
      </c>
      <c r="B123" s="15" t="s">
        <v>2154</v>
      </c>
      <c r="C123" s="173">
        <v>10</v>
      </c>
      <c r="D123" s="173">
        <v>13</v>
      </c>
    </row>
    <row r="124" spans="1:4">
      <c r="A124" t="s">
        <v>9</v>
      </c>
      <c r="B124" s="15" t="s">
        <v>2155</v>
      </c>
      <c r="C124" s="173">
        <v>10</v>
      </c>
      <c r="D124" s="173">
        <v>13</v>
      </c>
    </row>
    <row r="125" spans="1:4">
      <c r="A125" t="s">
        <v>9</v>
      </c>
      <c r="B125" s="15" t="s">
        <v>1922</v>
      </c>
      <c r="C125" s="173">
        <v>10</v>
      </c>
      <c r="D125" s="173">
        <v>10</v>
      </c>
    </row>
    <row r="126" spans="1:4">
      <c r="A126" t="s">
        <v>9</v>
      </c>
      <c r="B126" s="15" t="s">
        <v>2156</v>
      </c>
      <c r="C126" s="173">
        <v>10</v>
      </c>
      <c r="D126" s="173">
        <v>13</v>
      </c>
    </row>
    <row r="127" spans="1:4">
      <c r="A127" t="s">
        <v>9</v>
      </c>
      <c r="B127" s="15" t="s">
        <v>1933</v>
      </c>
      <c r="C127" s="173">
        <v>9</v>
      </c>
      <c r="D127" s="173">
        <v>9</v>
      </c>
    </row>
    <row r="128" spans="1:4">
      <c r="A128" t="s">
        <v>9</v>
      </c>
      <c r="B128" s="15" t="s">
        <v>2157</v>
      </c>
      <c r="C128" s="173">
        <v>8</v>
      </c>
      <c r="D128" s="173">
        <v>9</v>
      </c>
    </row>
    <row r="129" spans="1:4">
      <c r="A129" t="s">
        <v>9</v>
      </c>
      <c r="B129" s="15" t="s">
        <v>2158</v>
      </c>
      <c r="C129" s="173">
        <v>7</v>
      </c>
      <c r="D129" s="173">
        <v>9</v>
      </c>
    </row>
    <row r="130" spans="1:4">
      <c r="A130" t="s">
        <v>9</v>
      </c>
      <c r="B130" s="15" t="s">
        <v>2159</v>
      </c>
      <c r="C130" s="173">
        <v>7</v>
      </c>
      <c r="D130" s="173">
        <v>8</v>
      </c>
    </row>
    <row r="131" spans="1:4">
      <c r="A131" t="s">
        <v>9</v>
      </c>
      <c r="B131" s="15" t="s">
        <v>2160</v>
      </c>
      <c r="C131" s="173">
        <v>7</v>
      </c>
      <c r="D131" s="173">
        <v>8</v>
      </c>
    </row>
    <row r="132" spans="1:4">
      <c r="A132" t="s">
        <v>9</v>
      </c>
      <c r="B132" s="15" t="s">
        <v>2161</v>
      </c>
      <c r="C132" s="173">
        <v>6</v>
      </c>
      <c r="D132" s="173">
        <v>8</v>
      </c>
    </row>
    <row r="133" spans="1:4">
      <c r="A133" t="s">
        <v>9</v>
      </c>
      <c r="B133" s="15" t="s">
        <v>2162</v>
      </c>
      <c r="C133" s="173">
        <v>6</v>
      </c>
      <c r="D133" s="173">
        <v>7</v>
      </c>
    </row>
    <row r="134" spans="1:4">
      <c r="A134" t="s">
        <v>9</v>
      </c>
      <c r="B134" s="15" t="s">
        <v>2000</v>
      </c>
      <c r="C134" s="173">
        <v>6</v>
      </c>
      <c r="D134" s="173">
        <v>6</v>
      </c>
    </row>
    <row r="135" spans="1:4">
      <c r="A135" t="s">
        <v>9</v>
      </c>
      <c r="B135" s="15" t="s">
        <v>2034</v>
      </c>
      <c r="C135" s="173">
        <v>6</v>
      </c>
      <c r="D135" s="173">
        <v>6</v>
      </c>
    </row>
    <row r="136" spans="1:4">
      <c r="A136" t="s">
        <v>9</v>
      </c>
      <c r="B136" s="15" t="s">
        <v>2163</v>
      </c>
      <c r="C136" s="173">
        <v>6</v>
      </c>
      <c r="D136" s="173">
        <v>7</v>
      </c>
    </row>
    <row r="137" spans="1:4">
      <c r="A137" t="s">
        <v>9</v>
      </c>
      <c r="B137" s="15" t="s">
        <v>2164</v>
      </c>
      <c r="C137" s="173">
        <v>6</v>
      </c>
      <c r="D137" s="173">
        <v>7</v>
      </c>
    </row>
    <row r="138" spans="1:4">
      <c r="A138" t="s">
        <v>9</v>
      </c>
      <c r="B138" s="15" t="s">
        <v>2118</v>
      </c>
      <c r="C138" s="173">
        <v>6</v>
      </c>
      <c r="D138" s="173">
        <v>8</v>
      </c>
    </row>
    <row r="139" spans="1:4">
      <c r="A139" t="s">
        <v>9</v>
      </c>
      <c r="B139" s="15" t="s">
        <v>2165</v>
      </c>
      <c r="C139" s="173">
        <v>5</v>
      </c>
      <c r="D139" s="173">
        <v>6</v>
      </c>
    </row>
    <row r="140" spans="1:4">
      <c r="A140" t="s">
        <v>9</v>
      </c>
      <c r="B140" s="15" t="s">
        <v>2166</v>
      </c>
      <c r="C140" s="173">
        <v>4</v>
      </c>
      <c r="D140" s="173">
        <v>5</v>
      </c>
    </row>
    <row r="141" spans="1:4">
      <c r="A141" t="s">
        <v>9</v>
      </c>
      <c r="B141" s="15" t="s">
        <v>2167</v>
      </c>
      <c r="C141" s="173">
        <v>4</v>
      </c>
      <c r="D141" s="173">
        <v>5</v>
      </c>
    </row>
    <row r="142" spans="1:4">
      <c r="A142" t="s">
        <v>9</v>
      </c>
      <c r="B142" s="15" t="s">
        <v>2168</v>
      </c>
      <c r="C142" s="173">
        <v>4</v>
      </c>
      <c r="D142" s="173">
        <v>5</v>
      </c>
    </row>
    <row r="143" spans="1:4">
      <c r="A143" t="s">
        <v>9</v>
      </c>
      <c r="B143" s="15" t="s">
        <v>2169</v>
      </c>
      <c r="C143" s="173">
        <v>4</v>
      </c>
      <c r="D143" s="173">
        <v>5</v>
      </c>
    </row>
    <row r="144" spans="1:4">
      <c r="A144" t="s">
        <v>9</v>
      </c>
      <c r="B144" s="15" t="s">
        <v>1848</v>
      </c>
      <c r="C144" s="173">
        <v>4</v>
      </c>
      <c r="D144" s="173">
        <v>4</v>
      </c>
    </row>
    <row r="145" spans="1:4">
      <c r="A145" t="s">
        <v>9</v>
      </c>
      <c r="B145" s="15" t="s">
        <v>2170</v>
      </c>
      <c r="C145" s="173">
        <v>4</v>
      </c>
      <c r="D145" s="173">
        <v>5</v>
      </c>
    </row>
    <row r="146" spans="1:4">
      <c r="A146" t="s">
        <v>9</v>
      </c>
      <c r="B146" s="15" t="s">
        <v>2171</v>
      </c>
      <c r="C146" s="173">
        <v>3</v>
      </c>
      <c r="D146" s="173">
        <v>3</v>
      </c>
    </row>
    <row r="147" spans="1:4">
      <c r="A147" t="s">
        <v>9</v>
      </c>
      <c r="B147" s="15" t="s">
        <v>2172</v>
      </c>
      <c r="C147" s="173">
        <v>3</v>
      </c>
      <c r="D147" s="173">
        <v>3</v>
      </c>
    </row>
    <row r="148" spans="1:4">
      <c r="A148" t="s">
        <v>9</v>
      </c>
      <c r="B148" s="15" t="s">
        <v>2173</v>
      </c>
      <c r="C148" s="173">
        <v>3</v>
      </c>
      <c r="D148" s="173">
        <v>3</v>
      </c>
    </row>
    <row r="149" spans="1:4">
      <c r="A149" t="s">
        <v>9</v>
      </c>
      <c r="B149" s="15" t="s">
        <v>1945</v>
      </c>
      <c r="C149" s="173">
        <v>3</v>
      </c>
      <c r="D149" s="173">
        <v>3</v>
      </c>
    </row>
    <row r="150" spans="1:4">
      <c r="A150" t="s">
        <v>9</v>
      </c>
      <c r="B150" s="15" t="s">
        <v>2174</v>
      </c>
      <c r="C150" s="173">
        <v>2</v>
      </c>
      <c r="D150" s="173">
        <v>2</v>
      </c>
    </row>
    <row r="151" spans="1:4">
      <c r="A151" t="s">
        <v>9</v>
      </c>
      <c r="B151" s="15" t="s">
        <v>2175</v>
      </c>
      <c r="C151" s="173">
        <v>2</v>
      </c>
      <c r="D151" s="173">
        <v>2</v>
      </c>
    </row>
    <row r="152" spans="1:4">
      <c r="A152" t="s">
        <v>9</v>
      </c>
      <c r="B152" s="15" t="s">
        <v>2176</v>
      </c>
      <c r="C152" s="173">
        <v>2</v>
      </c>
      <c r="D152" s="173">
        <v>2</v>
      </c>
    </row>
    <row r="153" spans="1:4">
      <c r="A153" t="s">
        <v>9</v>
      </c>
      <c r="B153" s="15" t="s">
        <v>2177</v>
      </c>
      <c r="C153" s="173">
        <v>2</v>
      </c>
      <c r="D153" s="173">
        <v>2</v>
      </c>
    </row>
    <row r="154" spans="1:4">
      <c r="A154" t="s">
        <v>9</v>
      </c>
      <c r="B154" s="15" t="s">
        <v>1940</v>
      </c>
      <c r="C154" s="173">
        <v>2</v>
      </c>
      <c r="D154" s="173">
        <v>2</v>
      </c>
    </row>
    <row r="155" spans="1:4">
      <c r="A155" t="s">
        <v>9</v>
      </c>
      <c r="B155" s="15" t="s">
        <v>1942</v>
      </c>
      <c r="C155" s="173">
        <v>2</v>
      </c>
      <c r="D155" s="173">
        <v>2</v>
      </c>
    </row>
    <row r="156" spans="1:4">
      <c r="A156" t="s">
        <v>9</v>
      </c>
      <c r="B156" s="15" t="s">
        <v>2038</v>
      </c>
      <c r="C156" s="173">
        <v>2</v>
      </c>
      <c r="D156" s="173">
        <v>2</v>
      </c>
    </row>
    <row r="157" spans="1:4">
      <c r="A157" t="s">
        <v>9</v>
      </c>
      <c r="B157" s="15" t="s">
        <v>2178</v>
      </c>
      <c r="C157" s="173">
        <v>2</v>
      </c>
      <c r="D157" s="173">
        <v>2</v>
      </c>
    </row>
    <row r="158" spans="1:4">
      <c r="A158" t="s">
        <v>9</v>
      </c>
      <c r="B158" s="15" t="s">
        <v>2179</v>
      </c>
      <c r="C158" s="173">
        <v>2</v>
      </c>
      <c r="D158" s="173">
        <v>2</v>
      </c>
    </row>
    <row r="159" spans="1:4">
      <c r="A159" t="s">
        <v>9</v>
      </c>
      <c r="B159" s="15" t="s">
        <v>2180</v>
      </c>
      <c r="C159" s="173">
        <v>2</v>
      </c>
      <c r="D159" s="173">
        <v>2</v>
      </c>
    </row>
    <row r="160" spans="1:4">
      <c r="A160" t="s">
        <v>9</v>
      </c>
      <c r="B160" s="15" t="s">
        <v>2181</v>
      </c>
      <c r="C160" s="173">
        <v>2</v>
      </c>
      <c r="D160" s="173">
        <v>2</v>
      </c>
    </row>
    <row r="161" spans="1:4">
      <c r="A161" t="s">
        <v>9</v>
      </c>
      <c r="B161" s="15" t="s">
        <v>2182</v>
      </c>
      <c r="C161" s="173">
        <v>2</v>
      </c>
      <c r="D161" s="173">
        <v>2</v>
      </c>
    </row>
    <row r="162" spans="1:4">
      <c r="A162" t="s">
        <v>9</v>
      </c>
      <c r="B162" s="15" t="s">
        <v>2183</v>
      </c>
      <c r="C162" s="173">
        <v>2</v>
      </c>
      <c r="D162" s="173">
        <v>2</v>
      </c>
    </row>
    <row r="163" spans="1:4">
      <c r="A163" t="s">
        <v>9</v>
      </c>
      <c r="B163" s="15" t="s">
        <v>2184</v>
      </c>
      <c r="C163" s="173">
        <v>1</v>
      </c>
      <c r="D163" s="173">
        <v>1</v>
      </c>
    </row>
    <row r="164" spans="1:4">
      <c r="A164" t="s">
        <v>9</v>
      </c>
      <c r="B164" s="15" t="s">
        <v>2185</v>
      </c>
      <c r="C164" s="173">
        <v>1</v>
      </c>
      <c r="D164" s="173">
        <v>1</v>
      </c>
    </row>
    <row r="165" spans="1:4">
      <c r="A165" t="s">
        <v>9</v>
      </c>
      <c r="B165" s="15" t="s">
        <v>2186</v>
      </c>
      <c r="C165" s="173">
        <v>1</v>
      </c>
      <c r="D165" s="173">
        <v>1</v>
      </c>
    </row>
    <row r="166" spans="1:4">
      <c r="A166" t="s">
        <v>9</v>
      </c>
      <c r="B166" s="15" t="s">
        <v>2187</v>
      </c>
      <c r="C166" s="173">
        <v>1</v>
      </c>
      <c r="D166" s="173">
        <v>1</v>
      </c>
    </row>
    <row r="167" spans="1:4">
      <c r="A167" t="s">
        <v>9</v>
      </c>
      <c r="B167" s="15" t="s">
        <v>1976</v>
      </c>
      <c r="C167" s="173">
        <v>1</v>
      </c>
      <c r="D167" s="173">
        <v>1</v>
      </c>
    </row>
    <row r="168" spans="1:4">
      <c r="A168" t="s">
        <v>9</v>
      </c>
      <c r="B168" s="15" t="s">
        <v>2188</v>
      </c>
      <c r="C168" s="173">
        <v>1</v>
      </c>
      <c r="D168" s="173">
        <v>1</v>
      </c>
    </row>
    <row r="169" spans="1:4">
      <c r="A169" t="s">
        <v>9</v>
      </c>
      <c r="B169" s="15" t="s">
        <v>2189</v>
      </c>
      <c r="C169" s="173">
        <v>1</v>
      </c>
      <c r="D169" s="173">
        <v>1</v>
      </c>
    </row>
    <row r="170" spans="1:4">
      <c r="A170" t="s">
        <v>9</v>
      </c>
      <c r="B170" s="15" t="s">
        <v>2190</v>
      </c>
      <c r="C170" s="173">
        <v>1</v>
      </c>
      <c r="D170" s="173">
        <v>1</v>
      </c>
    </row>
    <row r="171" spans="1:4">
      <c r="A171" t="s">
        <v>9</v>
      </c>
      <c r="B171" s="15" t="s">
        <v>2191</v>
      </c>
      <c r="C171" s="173">
        <v>1</v>
      </c>
      <c r="D171" s="173">
        <v>1</v>
      </c>
    </row>
    <row r="172" spans="1:4">
      <c r="A172" t="s">
        <v>9</v>
      </c>
      <c r="B172" s="15" t="s">
        <v>2192</v>
      </c>
      <c r="C172" s="173">
        <v>1</v>
      </c>
      <c r="D172" s="173">
        <v>1</v>
      </c>
    </row>
    <row r="173" spans="1:4">
      <c r="A173" t="s">
        <v>9</v>
      </c>
      <c r="B173" s="15" t="s">
        <v>2193</v>
      </c>
      <c r="C173" s="173">
        <v>1</v>
      </c>
      <c r="D173" s="173">
        <v>3</v>
      </c>
    </row>
    <row r="174" spans="1:4">
      <c r="A174" t="s">
        <v>9</v>
      </c>
      <c r="B174" s="15" t="s">
        <v>2194</v>
      </c>
      <c r="C174" s="173">
        <v>1</v>
      </c>
      <c r="D174" s="173">
        <v>1</v>
      </c>
    </row>
    <row r="175" spans="1:4">
      <c r="A175" t="s">
        <v>9</v>
      </c>
      <c r="B175" s="15" t="s">
        <v>2195</v>
      </c>
      <c r="C175" s="173">
        <v>1</v>
      </c>
      <c r="D175" s="173">
        <v>1</v>
      </c>
    </row>
    <row r="176" spans="1:4">
      <c r="A176" t="s">
        <v>9</v>
      </c>
      <c r="B176" s="15" t="s">
        <v>2196</v>
      </c>
      <c r="C176" s="173">
        <v>1</v>
      </c>
      <c r="D176" s="173">
        <v>1</v>
      </c>
    </row>
    <row r="177" spans="1:4">
      <c r="A177" t="s">
        <v>9</v>
      </c>
      <c r="B177" s="15" t="s">
        <v>2197</v>
      </c>
      <c r="C177" s="173">
        <v>1</v>
      </c>
      <c r="D177" s="173">
        <v>1</v>
      </c>
    </row>
    <row r="178" spans="1:4">
      <c r="A178" t="s">
        <v>9</v>
      </c>
      <c r="B178" s="15" t="s">
        <v>2198</v>
      </c>
      <c r="C178" s="173">
        <v>1</v>
      </c>
      <c r="D178" s="173">
        <v>3</v>
      </c>
    </row>
    <row r="179" spans="1:4">
      <c r="A179" t="s">
        <v>9</v>
      </c>
      <c r="B179" s="15" t="s">
        <v>1999</v>
      </c>
      <c r="C179" s="173">
        <v>1</v>
      </c>
      <c r="D179" s="173">
        <v>1</v>
      </c>
    </row>
    <row r="180" spans="1:4">
      <c r="A180" t="s">
        <v>9</v>
      </c>
      <c r="B180" s="15" t="s">
        <v>2199</v>
      </c>
      <c r="C180" s="173">
        <v>1</v>
      </c>
      <c r="D180" s="173">
        <v>1</v>
      </c>
    </row>
    <row r="181" spans="1:4">
      <c r="A181" t="s">
        <v>9</v>
      </c>
      <c r="B181" s="15" t="s">
        <v>2200</v>
      </c>
      <c r="C181" s="173">
        <v>1</v>
      </c>
      <c r="D181" s="173">
        <v>1</v>
      </c>
    </row>
    <row r="182" spans="1:4">
      <c r="A182" t="s">
        <v>9</v>
      </c>
      <c r="B182" s="15" t="s">
        <v>2201</v>
      </c>
      <c r="C182" s="173">
        <v>1</v>
      </c>
      <c r="D182" s="173">
        <v>1</v>
      </c>
    </row>
    <row r="183" spans="1:4">
      <c r="A183" t="s">
        <v>9</v>
      </c>
      <c r="B183" s="15" t="s">
        <v>2202</v>
      </c>
      <c r="C183" s="173">
        <v>1</v>
      </c>
      <c r="D183" s="173">
        <v>1</v>
      </c>
    </row>
    <row r="184" spans="1:4">
      <c r="A184" t="s">
        <v>9</v>
      </c>
      <c r="B184" s="15" t="s">
        <v>2008</v>
      </c>
      <c r="C184" s="173">
        <v>1</v>
      </c>
      <c r="D184" s="173">
        <v>1</v>
      </c>
    </row>
    <row r="185" spans="1:4">
      <c r="A185" t="s">
        <v>9</v>
      </c>
      <c r="B185" s="15" t="s">
        <v>2203</v>
      </c>
      <c r="C185" s="173">
        <v>1</v>
      </c>
      <c r="D185" s="173">
        <v>2</v>
      </c>
    </row>
    <row r="186" spans="1:4">
      <c r="A186" t="s">
        <v>9</v>
      </c>
      <c r="B186" s="15" t="s">
        <v>2204</v>
      </c>
      <c r="C186" s="173">
        <v>1</v>
      </c>
      <c r="D186" s="173">
        <v>1</v>
      </c>
    </row>
    <row r="187" spans="1:4">
      <c r="A187" t="s">
        <v>9</v>
      </c>
      <c r="B187" s="15" t="s">
        <v>2205</v>
      </c>
      <c r="C187" s="173">
        <v>1</v>
      </c>
      <c r="D187" s="173">
        <v>1</v>
      </c>
    </row>
    <row r="188" spans="1:4">
      <c r="A188" t="s">
        <v>9</v>
      </c>
      <c r="B188" s="15" t="s">
        <v>2206</v>
      </c>
      <c r="C188" s="173">
        <v>1</v>
      </c>
      <c r="D188" s="173">
        <v>3</v>
      </c>
    </row>
    <row r="189" spans="1:4">
      <c r="A189" t="s">
        <v>9</v>
      </c>
      <c r="B189" s="15" t="s">
        <v>2207</v>
      </c>
      <c r="C189" s="173">
        <v>1</v>
      </c>
      <c r="D189" s="173">
        <v>1</v>
      </c>
    </row>
    <row r="190" spans="1:4">
      <c r="A190" t="s">
        <v>9</v>
      </c>
      <c r="B190" s="15" t="s">
        <v>2208</v>
      </c>
      <c r="C190" s="173">
        <v>1</v>
      </c>
      <c r="D190" s="173">
        <v>1</v>
      </c>
    </row>
    <row r="191" spans="1:4">
      <c r="A191" t="s">
        <v>9</v>
      </c>
      <c r="B191" s="15" t="s">
        <v>2209</v>
      </c>
      <c r="C191" s="173">
        <v>1</v>
      </c>
      <c r="D191" s="173">
        <v>1</v>
      </c>
    </row>
    <row r="192" spans="1:4">
      <c r="A192" t="s">
        <v>9</v>
      </c>
      <c r="B192" s="15" t="s">
        <v>2210</v>
      </c>
      <c r="C192" s="173">
        <v>1</v>
      </c>
      <c r="D192" s="173">
        <v>1</v>
      </c>
    </row>
    <row r="193" spans="1:4">
      <c r="A193" t="s">
        <v>9</v>
      </c>
      <c r="B193" s="15" t="s">
        <v>2211</v>
      </c>
      <c r="C193" s="173">
        <v>1</v>
      </c>
      <c r="D193" s="173">
        <v>1</v>
      </c>
    </row>
    <row r="194" spans="1:4">
      <c r="A194" t="s">
        <v>9</v>
      </c>
      <c r="B194" s="15" t="s">
        <v>2212</v>
      </c>
      <c r="C194" s="173">
        <v>1</v>
      </c>
      <c r="D194" s="173">
        <v>1</v>
      </c>
    </row>
    <row r="195" spans="1:4">
      <c r="A195" t="s">
        <v>9</v>
      </c>
      <c r="B195" s="15" t="s">
        <v>2213</v>
      </c>
      <c r="C195" s="173">
        <v>1</v>
      </c>
      <c r="D195" s="173">
        <v>1</v>
      </c>
    </row>
    <row r="196" spans="1:4">
      <c r="A196" t="s">
        <v>9</v>
      </c>
      <c r="B196" s="15" t="s">
        <v>2214</v>
      </c>
      <c r="C196" s="173">
        <v>1</v>
      </c>
      <c r="D196" s="173">
        <v>1</v>
      </c>
    </row>
    <row r="197" spans="1:4">
      <c r="A197" t="s">
        <v>9</v>
      </c>
      <c r="B197" s="15" t="s">
        <v>2215</v>
      </c>
      <c r="C197" s="173">
        <v>1</v>
      </c>
      <c r="D197" s="173">
        <v>1</v>
      </c>
    </row>
    <row r="198" spans="1:4">
      <c r="A198" t="s">
        <v>9</v>
      </c>
      <c r="B198" s="15" t="s">
        <v>2216</v>
      </c>
      <c r="C198" s="173">
        <v>1</v>
      </c>
      <c r="D198" s="173">
        <v>1</v>
      </c>
    </row>
    <row r="199" spans="1:4">
      <c r="A199" t="s">
        <v>9</v>
      </c>
      <c r="B199" s="15" t="s">
        <v>2217</v>
      </c>
      <c r="C199" s="173">
        <v>1</v>
      </c>
      <c r="D199" s="173">
        <v>1</v>
      </c>
    </row>
    <row r="200" spans="1:4">
      <c r="A200" t="s">
        <v>9</v>
      </c>
      <c r="B200" s="15" t="s">
        <v>2218</v>
      </c>
      <c r="C200" s="173">
        <v>1</v>
      </c>
      <c r="D200" s="173">
        <v>1</v>
      </c>
    </row>
    <row r="201" spans="1:4">
      <c r="A201" t="s">
        <v>9</v>
      </c>
      <c r="B201" s="15" t="s">
        <v>2219</v>
      </c>
      <c r="C201" s="173">
        <v>1</v>
      </c>
      <c r="D201" s="173">
        <v>1</v>
      </c>
    </row>
    <row r="202" spans="1:4">
      <c r="A202" t="s">
        <v>9</v>
      </c>
      <c r="B202" s="15" t="s">
        <v>2220</v>
      </c>
      <c r="C202" s="173">
        <v>1</v>
      </c>
      <c r="D202" s="173">
        <v>1</v>
      </c>
    </row>
    <row r="203" spans="1:4">
      <c r="A203" t="s">
        <v>9</v>
      </c>
      <c r="B203" s="15" t="s">
        <v>2221</v>
      </c>
      <c r="C203" s="173">
        <v>1</v>
      </c>
      <c r="D203" s="173">
        <v>1</v>
      </c>
    </row>
    <row r="204" spans="1:4">
      <c r="A204" t="s">
        <v>9</v>
      </c>
      <c r="B204" s="15" t="s">
        <v>2222</v>
      </c>
      <c r="C204" s="173">
        <v>1</v>
      </c>
      <c r="D204" s="173">
        <v>3</v>
      </c>
    </row>
    <row r="205" spans="1:4">
      <c r="A205" t="s">
        <v>9</v>
      </c>
      <c r="B205" s="15" t="s">
        <v>2223</v>
      </c>
      <c r="C205" s="173">
        <v>1</v>
      </c>
      <c r="D205" s="173">
        <v>1</v>
      </c>
    </row>
    <row r="206" spans="1:4">
      <c r="A206" t="s">
        <v>9</v>
      </c>
      <c r="B206" s="15" t="s">
        <v>2224</v>
      </c>
      <c r="C206" s="173">
        <v>1</v>
      </c>
      <c r="D206" s="173">
        <v>1</v>
      </c>
    </row>
    <row r="207" spans="1:4">
      <c r="A207" t="s">
        <v>9</v>
      </c>
      <c r="B207" s="15" t="s">
        <v>2225</v>
      </c>
      <c r="C207" s="173">
        <v>1</v>
      </c>
      <c r="D207" s="173">
        <v>1</v>
      </c>
    </row>
    <row r="208" spans="1:4">
      <c r="A208" t="s">
        <v>9</v>
      </c>
      <c r="B208" s="15" t="s">
        <v>2062</v>
      </c>
      <c r="C208" s="173">
        <v>1</v>
      </c>
      <c r="D208" s="173">
        <v>1</v>
      </c>
    </row>
    <row r="209" spans="1:4">
      <c r="A209" t="s">
        <v>9</v>
      </c>
      <c r="B209" s="15" t="s">
        <v>2226</v>
      </c>
      <c r="C209" s="173">
        <v>1</v>
      </c>
      <c r="D209" s="173">
        <v>1</v>
      </c>
    </row>
    <row r="210" spans="1:4">
      <c r="A210" t="s">
        <v>9</v>
      </c>
      <c r="B210" s="15" t="s">
        <v>2227</v>
      </c>
      <c r="C210" s="173">
        <v>1</v>
      </c>
      <c r="D210" s="173">
        <v>3</v>
      </c>
    </row>
    <row r="211" spans="1:4">
      <c r="A211" t="s">
        <v>239</v>
      </c>
      <c r="B211" s="15" t="s">
        <v>1754</v>
      </c>
      <c r="C211" s="173">
        <v>18</v>
      </c>
      <c r="D211" s="173">
        <v>22</v>
      </c>
    </row>
    <row r="212" spans="1:4">
      <c r="A212" t="s">
        <v>239</v>
      </c>
      <c r="B212" s="15" t="s">
        <v>1914</v>
      </c>
      <c r="C212" s="173">
        <v>12</v>
      </c>
      <c r="D212" s="173">
        <v>15</v>
      </c>
    </row>
    <row r="213" spans="1:4">
      <c r="A213" t="s">
        <v>239</v>
      </c>
      <c r="B213" s="15" t="s">
        <v>1886</v>
      </c>
      <c r="C213" s="173">
        <v>12</v>
      </c>
      <c r="D213" s="173">
        <v>15</v>
      </c>
    </row>
    <row r="214" spans="1:4">
      <c r="A214" t="s">
        <v>239</v>
      </c>
      <c r="B214" s="15" t="s">
        <v>1887</v>
      </c>
      <c r="C214" s="173">
        <v>12</v>
      </c>
      <c r="D214" s="173">
        <v>15</v>
      </c>
    </row>
    <row r="215" spans="1:4">
      <c r="A215" t="s">
        <v>239</v>
      </c>
      <c r="B215" s="15" t="s">
        <v>1888</v>
      </c>
      <c r="C215" s="173">
        <v>12</v>
      </c>
      <c r="D215" s="173">
        <v>15</v>
      </c>
    </row>
    <row r="216" spans="1:4">
      <c r="A216" t="s">
        <v>239</v>
      </c>
      <c r="B216" s="15" t="s">
        <v>1893</v>
      </c>
      <c r="C216" s="173">
        <v>12</v>
      </c>
      <c r="D216" s="173">
        <v>15</v>
      </c>
    </row>
    <row r="217" spans="1:4">
      <c r="A217" t="s">
        <v>239</v>
      </c>
      <c r="B217" s="15" t="s">
        <v>1905</v>
      </c>
      <c r="C217" s="173">
        <v>12</v>
      </c>
      <c r="D217" s="173">
        <v>15</v>
      </c>
    </row>
    <row r="218" spans="1:4">
      <c r="A218" t="s">
        <v>239</v>
      </c>
      <c r="B218" s="15" t="s">
        <v>1895</v>
      </c>
      <c r="C218" s="173">
        <v>12</v>
      </c>
      <c r="D218" s="173">
        <v>15</v>
      </c>
    </row>
    <row r="219" spans="1:4">
      <c r="A219" t="s">
        <v>239</v>
      </c>
      <c r="B219" s="15" t="s">
        <v>1884</v>
      </c>
      <c r="C219" s="173">
        <v>11</v>
      </c>
      <c r="D219" s="173">
        <v>14</v>
      </c>
    </row>
    <row r="220" spans="1:4">
      <c r="A220" t="s">
        <v>239</v>
      </c>
      <c r="B220" s="15" t="s">
        <v>1897</v>
      </c>
      <c r="C220" s="173">
        <v>10</v>
      </c>
      <c r="D220" s="173">
        <v>13</v>
      </c>
    </row>
    <row r="221" spans="1:4">
      <c r="A221" t="s">
        <v>239</v>
      </c>
      <c r="B221" s="15" t="s">
        <v>1819</v>
      </c>
      <c r="C221" s="173">
        <v>10</v>
      </c>
      <c r="D221" s="173">
        <v>16</v>
      </c>
    </row>
    <row r="222" spans="1:4">
      <c r="A222" t="s">
        <v>239</v>
      </c>
      <c r="B222" s="15" t="s">
        <v>1834</v>
      </c>
      <c r="C222" s="173">
        <v>9</v>
      </c>
      <c r="D222" s="173">
        <v>15</v>
      </c>
    </row>
    <row r="223" spans="1:4">
      <c r="A223" t="s">
        <v>239</v>
      </c>
      <c r="B223" s="15" t="s">
        <v>2033</v>
      </c>
      <c r="C223" s="173">
        <v>6</v>
      </c>
      <c r="D223" s="173">
        <v>8</v>
      </c>
    </row>
    <row r="224" spans="1:4">
      <c r="A224" t="s">
        <v>239</v>
      </c>
      <c r="B224" s="15" t="s">
        <v>1908</v>
      </c>
      <c r="C224" s="173">
        <v>4</v>
      </c>
      <c r="D224" s="173">
        <v>7</v>
      </c>
    </row>
    <row r="225" spans="1:4">
      <c r="A225" t="s">
        <v>239</v>
      </c>
      <c r="B225" s="15" t="s">
        <v>2017</v>
      </c>
      <c r="C225" s="173">
        <v>4</v>
      </c>
      <c r="D225" s="173">
        <v>4</v>
      </c>
    </row>
    <row r="226" spans="1:4">
      <c r="A226" t="s">
        <v>239</v>
      </c>
      <c r="B226" s="15" t="s">
        <v>1922</v>
      </c>
      <c r="C226" s="173">
        <v>4</v>
      </c>
      <c r="D226" s="173">
        <v>7</v>
      </c>
    </row>
    <row r="227" spans="1:4">
      <c r="A227" t="s">
        <v>239</v>
      </c>
      <c r="B227" s="15" t="s">
        <v>1904</v>
      </c>
      <c r="C227" s="173">
        <v>4</v>
      </c>
      <c r="D227" s="173">
        <v>7</v>
      </c>
    </row>
    <row r="228" spans="1:4">
      <c r="A228" t="s">
        <v>239</v>
      </c>
      <c r="B228" s="15" t="s">
        <v>1476</v>
      </c>
      <c r="C228" s="173">
        <v>3</v>
      </c>
      <c r="D228" s="173">
        <v>4</v>
      </c>
    </row>
    <row r="229" spans="1:4">
      <c r="A229" t="s">
        <v>239</v>
      </c>
      <c r="B229" s="15" t="s">
        <v>1961</v>
      </c>
      <c r="C229" s="173">
        <v>2</v>
      </c>
      <c r="D229" s="173">
        <v>3</v>
      </c>
    </row>
    <row r="230" spans="1:4">
      <c r="A230" t="s">
        <v>239</v>
      </c>
      <c r="B230" s="15" t="s">
        <v>1841</v>
      </c>
      <c r="C230" s="173">
        <v>2</v>
      </c>
      <c r="D230" s="173">
        <v>2</v>
      </c>
    </row>
    <row r="231" spans="1:4">
      <c r="A231" t="s">
        <v>239</v>
      </c>
      <c r="B231" s="15" t="s">
        <v>1850</v>
      </c>
      <c r="C231" s="173">
        <v>2</v>
      </c>
      <c r="D231" s="173">
        <v>2</v>
      </c>
    </row>
    <row r="232" spans="1:4">
      <c r="A232" t="s">
        <v>239</v>
      </c>
      <c r="B232" s="15" t="s">
        <v>2228</v>
      </c>
      <c r="C232" s="173">
        <v>2</v>
      </c>
      <c r="D232" s="173">
        <v>3</v>
      </c>
    </row>
    <row r="233" spans="1:4">
      <c r="A233" t="s">
        <v>239</v>
      </c>
      <c r="B233" s="15" t="s">
        <v>2189</v>
      </c>
      <c r="C233" s="173">
        <v>1</v>
      </c>
      <c r="D233" s="173">
        <v>1</v>
      </c>
    </row>
    <row r="234" spans="1:4">
      <c r="A234" t="s">
        <v>239</v>
      </c>
      <c r="B234" s="15" t="s">
        <v>2012</v>
      </c>
      <c r="C234" s="173">
        <v>1</v>
      </c>
      <c r="D234" s="173">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C2220-6728-47BD-971D-F5380C9D1C56}">
  <dimension ref="A1:I24"/>
  <sheetViews>
    <sheetView workbookViewId="0">
      <selection activeCell="D23" sqref="D23"/>
    </sheetView>
  </sheetViews>
  <sheetFormatPr defaultColWidth="9.140625" defaultRowHeight="15"/>
  <cols>
    <col min="1" max="1" width="10.28515625" bestFit="1" customWidth="1"/>
    <col min="2" max="2" width="12.5703125" bestFit="1" customWidth="1"/>
    <col min="3" max="3" width="12" bestFit="1" customWidth="1"/>
    <col min="4" max="4" width="61.28515625" customWidth="1"/>
    <col min="5" max="5" width="11.140625" style="86" customWidth="1"/>
    <col min="6" max="6" width="13.140625" style="86" customWidth="1"/>
    <col min="7" max="7" width="11.42578125" style="95" customWidth="1"/>
    <col min="8" max="8" width="78.7109375" customWidth="1"/>
    <col min="9" max="9" width="36.5703125" bestFit="1" customWidth="1"/>
  </cols>
  <sheetData>
    <row r="1" spans="1:9">
      <c r="A1" s="57" t="s">
        <v>310</v>
      </c>
      <c r="B1" s="57" t="s">
        <v>311</v>
      </c>
      <c r="C1" s="57" t="s">
        <v>354</v>
      </c>
      <c r="D1" s="57" t="s">
        <v>355</v>
      </c>
      <c r="E1" s="78" t="s">
        <v>357</v>
      </c>
      <c r="F1" s="78" t="s">
        <v>358</v>
      </c>
      <c r="G1" s="87" t="s">
        <v>359</v>
      </c>
      <c r="H1" s="58" t="s">
        <v>364</v>
      </c>
      <c r="I1" s="58" t="s">
        <v>2229</v>
      </c>
    </row>
    <row r="2" spans="1:9" ht="30">
      <c r="A2" s="62" t="s">
        <v>182</v>
      </c>
      <c r="B2" s="63" t="s">
        <v>896</v>
      </c>
      <c r="C2" s="63" t="s">
        <v>898</v>
      </c>
      <c r="D2" s="63" t="s">
        <v>372</v>
      </c>
      <c r="E2" s="79">
        <v>15019</v>
      </c>
      <c r="F2" s="79">
        <v>15398</v>
      </c>
      <c r="G2" s="88">
        <v>-2.5234699999999999E-2</v>
      </c>
      <c r="H2" s="64" t="s">
        <v>2230</v>
      </c>
      <c r="I2" s="65" t="s">
        <v>2231</v>
      </c>
    </row>
    <row r="3" spans="1:9">
      <c r="A3" s="66" t="s">
        <v>182</v>
      </c>
      <c r="B3" s="55" t="s">
        <v>896</v>
      </c>
      <c r="C3" s="55" t="s">
        <v>924</v>
      </c>
      <c r="D3" s="55" t="s">
        <v>427</v>
      </c>
      <c r="E3" s="80">
        <v>632</v>
      </c>
      <c r="F3" s="80">
        <v>637</v>
      </c>
      <c r="G3" s="89">
        <v>-7.9114000000000007E-3</v>
      </c>
      <c r="H3" s="54"/>
      <c r="I3" s="67" t="s">
        <v>2232</v>
      </c>
    </row>
    <row r="4" spans="1:9">
      <c r="A4" s="66" t="s">
        <v>182</v>
      </c>
      <c r="B4" s="55" t="s">
        <v>896</v>
      </c>
      <c r="C4" s="55" t="s">
        <v>908</v>
      </c>
      <c r="D4" s="55" t="s">
        <v>383</v>
      </c>
      <c r="E4" s="80">
        <v>921</v>
      </c>
      <c r="F4" s="80">
        <v>924</v>
      </c>
      <c r="G4" s="89">
        <v>-3.2572999999999999E-3</v>
      </c>
      <c r="H4" s="54"/>
      <c r="I4" s="67" t="s">
        <v>2232</v>
      </c>
    </row>
    <row r="5" spans="1:9">
      <c r="A5" s="68" t="s">
        <v>182</v>
      </c>
      <c r="B5" s="60" t="s">
        <v>896</v>
      </c>
      <c r="C5" s="60" t="s">
        <v>927</v>
      </c>
      <c r="D5" s="60" t="s">
        <v>431</v>
      </c>
      <c r="E5" s="81">
        <v>466</v>
      </c>
      <c r="F5" s="81">
        <v>466</v>
      </c>
      <c r="G5" s="90">
        <v>0</v>
      </c>
      <c r="H5" s="61"/>
      <c r="I5" s="69" t="s">
        <v>2233</v>
      </c>
    </row>
    <row r="6" spans="1:9">
      <c r="A6" s="68" t="s">
        <v>182</v>
      </c>
      <c r="B6" s="60" t="s">
        <v>896</v>
      </c>
      <c r="C6" s="60" t="s">
        <v>929</v>
      </c>
      <c r="D6" s="60" t="s">
        <v>437</v>
      </c>
      <c r="E6" s="81">
        <v>23</v>
      </c>
      <c r="F6" s="81">
        <v>23</v>
      </c>
      <c r="G6" s="90">
        <v>0</v>
      </c>
      <c r="H6" s="61"/>
      <c r="I6" s="69" t="s">
        <v>2233</v>
      </c>
    </row>
    <row r="7" spans="1:9" ht="30">
      <c r="A7" s="66" t="s">
        <v>182</v>
      </c>
      <c r="B7" s="55" t="s">
        <v>67</v>
      </c>
      <c r="C7" s="55" t="s">
        <v>2234</v>
      </c>
      <c r="D7" s="55" t="s">
        <v>2235</v>
      </c>
      <c r="E7" s="80">
        <v>6463</v>
      </c>
      <c r="F7" s="80">
        <v>6479</v>
      </c>
      <c r="G7" s="89">
        <v>-2.4756000000000001E-3</v>
      </c>
      <c r="H7" s="54" t="s">
        <v>2236</v>
      </c>
      <c r="I7" s="67" t="s">
        <v>2232</v>
      </c>
    </row>
    <row r="8" spans="1:9">
      <c r="A8" s="70" t="s">
        <v>182</v>
      </c>
      <c r="B8" s="54" t="s">
        <v>67</v>
      </c>
      <c r="C8" s="54" t="s">
        <v>816</v>
      </c>
      <c r="D8" s="54" t="s">
        <v>630</v>
      </c>
      <c r="E8" s="82">
        <v>1513</v>
      </c>
      <c r="F8" s="82">
        <v>1509</v>
      </c>
      <c r="G8" s="91">
        <v>2.6437499999999998E-3</v>
      </c>
      <c r="H8" s="54"/>
      <c r="I8" s="67" t="s">
        <v>2232</v>
      </c>
    </row>
    <row r="9" spans="1:9">
      <c r="A9" s="76" t="s">
        <v>182</v>
      </c>
      <c r="B9" s="77" t="s">
        <v>67</v>
      </c>
      <c r="C9" s="77" t="s">
        <v>813</v>
      </c>
      <c r="D9" s="77" t="s">
        <v>625</v>
      </c>
      <c r="E9" s="83">
        <v>2769</v>
      </c>
      <c r="F9" s="83">
        <v>2749</v>
      </c>
      <c r="G9" s="92">
        <v>7.2228199999999996E-3</v>
      </c>
      <c r="H9" s="77"/>
      <c r="I9" s="67" t="s">
        <v>2232</v>
      </c>
    </row>
    <row r="10" spans="1:9">
      <c r="A10" s="76" t="s">
        <v>182</v>
      </c>
      <c r="B10" s="77" t="s">
        <v>67</v>
      </c>
      <c r="C10" s="77" t="s">
        <v>797</v>
      </c>
      <c r="D10" s="77" t="s">
        <v>73</v>
      </c>
      <c r="E10" s="83">
        <v>4489</v>
      </c>
      <c r="F10" s="83">
        <v>4432</v>
      </c>
      <c r="G10" s="92">
        <v>1.2697699999999999E-2</v>
      </c>
      <c r="H10" s="77" t="s">
        <v>2237</v>
      </c>
      <c r="I10" s="67" t="s">
        <v>2232</v>
      </c>
    </row>
    <row r="11" spans="1:9">
      <c r="A11" s="76" t="s">
        <v>9</v>
      </c>
      <c r="B11" s="77" t="s">
        <v>331</v>
      </c>
      <c r="C11" s="77" t="s">
        <v>509</v>
      </c>
      <c r="D11" s="77" t="s">
        <v>31</v>
      </c>
      <c r="E11" s="83">
        <v>1485</v>
      </c>
      <c r="F11" s="83">
        <v>1507</v>
      </c>
      <c r="G11" s="92">
        <v>-1.4814799999999999E-2</v>
      </c>
      <c r="H11" s="77" t="s">
        <v>2237</v>
      </c>
      <c r="I11" s="67" t="s">
        <v>2232</v>
      </c>
    </row>
    <row r="12" spans="1:9" ht="60">
      <c r="A12" s="71" t="s">
        <v>9</v>
      </c>
      <c r="B12" s="56" t="s">
        <v>331</v>
      </c>
      <c r="C12" s="56" t="s">
        <v>382</v>
      </c>
      <c r="D12" s="56" t="s">
        <v>383</v>
      </c>
      <c r="E12" s="84">
        <v>4325</v>
      </c>
      <c r="F12" s="84">
        <v>3557</v>
      </c>
      <c r="G12" s="93">
        <v>0.17757229999999999</v>
      </c>
      <c r="H12" s="59" t="s">
        <v>2238</v>
      </c>
      <c r="I12" s="72" t="s">
        <v>2239</v>
      </c>
    </row>
    <row r="13" spans="1:9">
      <c r="A13" s="66" t="s">
        <v>9</v>
      </c>
      <c r="B13" s="55" t="s">
        <v>67</v>
      </c>
      <c r="C13" s="55" t="s">
        <v>605</v>
      </c>
      <c r="D13" s="55" t="s">
        <v>606</v>
      </c>
      <c r="E13" s="80">
        <v>1855</v>
      </c>
      <c r="F13" s="80">
        <v>1888</v>
      </c>
      <c r="G13" s="89">
        <f>(Table2[[#This Row],[Reporting - Volumes]]-Table2[[#This Row],[Fabric Volumes]])/Table2[[#This Row],[Reporting - Volumes]]</f>
        <v>-1.778975741239892E-2</v>
      </c>
      <c r="H13" s="54" t="s">
        <v>2240</v>
      </c>
      <c r="I13" s="67" t="s">
        <v>2232</v>
      </c>
    </row>
    <row r="14" spans="1:9" ht="30">
      <c r="A14" s="66" t="s">
        <v>9</v>
      </c>
      <c r="B14" s="55" t="s">
        <v>67</v>
      </c>
      <c r="C14" s="55" t="s">
        <v>2241</v>
      </c>
      <c r="D14" s="55" t="s">
        <v>581</v>
      </c>
      <c r="E14" s="80">
        <v>15552</v>
      </c>
      <c r="F14" s="80">
        <v>15614</v>
      </c>
      <c r="G14" s="89">
        <v>-3.9865999999999999E-3</v>
      </c>
      <c r="H14" s="54" t="s">
        <v>2236</v>
      </c>
      <c r="I14" s="67" t="s">
        <v>2232</v>
      </c>
    </row>
    <row r="15" spans="1:9" ht="30">
      <c r="A15" s="66" t="s">
        <v>9</v>
      </c>
      <c r="B15" s="55" t="s">
        <v>67</v>
      </c>
      <c r="C15" s="55" t="s">
        <v>371</v>
      </c>
      <c r="D15" s="55" t="s">
        <v>372</v>
      </c>
      <c r="E15" s="80">
        <v>79441</v>
      </c>
      <c r="F15" s="80">
        <v>79689</v>
      </c>
      <c r="G15" s="89">
        <v>-3.1218000000000001E-3</v>
      </c>
      <c r="H15" s="54" t="s">
        <v>2230</v>
      </c>
      <c r="I15" s="67" t="s">
        <v>2232</v>
      </c>
    </row>
    <row r="16" spans="1:9">
      <c r="A16" s="66" t="s">
        <v>9</v>
      </c>
      <c r="B16" s="55" t="s">
        <v>67</v>
      </c>
      <c r="C16" s="55" t="s">
        <v>624</v>
      </c>
      <c r="D16" s="55" t="s">
        <v>625</v>
      </c>
      <c r="E16" s="80">
        <v>7971</v>
      </c>
      <c r="F16" s="80">
        <v>7995</v>
      </c>
      <c r="G16" s="89">
        <v>-3.0108999999999999E-3</v>
      </c>
      <c r="H16" s="54"/>
      <c r="I16" s="67" t="s">
        <v>2232</v>
      </c>
    </row>
    <row r="17" spans="1:9">
      <c r="A17" s="68" t="s">
        <v>9</v>
      </c>
      <c r="B17" s="60" t="s">
        <v>67</v>
      </c>
      <c r="C17" s="60" t="s">
        <v>430</v>
      </c>
      <c r="D17" s="60" t="s">
        <v>431</v>
      </c>
      <c r="E17" s="81">
        <v>685</v>
      </c>
      <c r="F17" s="81">
        <v>685</v>
      </c>
      <c r="G17" s="90">
        <v>0</v>
      </c>
      <c r="H17" s="61"/>
      <c r="I17" s="69" t="s">
        <v>2233</v>
      </c>
    </row>
    <row r="18" spans="1:9">
      <c r="A18" s="68" t="s">
        <v>9</v>
      </c>
      <c r="B18" s="60" t="s">
        <v>67</v>
      </c>
      <c r="C18" s="60" t="s">
        <v>476</v>
      </c>
      <c r="D18" s="60" t="s">
        <v>477</v>
      </c>
      <c r="E18" s="81">
        <v>2580</v>
      </c>
      <c r="F18" s="81">
        <v>2580</v>
      </c>
      <c r="G18" s="90">
        <v>0</v>
      </c>
      <c r="H18" s="61"/>
      <c r="I18" s="69" t="s">
        <v>2233</v>
      </c>
    </row>
    <row r="19" spans="1:9">
      <c r="A19" s="68" t="s">
        <v>9</v>
      </c>
      <c r="B19" s="60" t="s">
        <v>67</v>
      </c>
      <c r="C19" s="60" t="s">
        <v>480</v>
      </c>
      <c r="D19" s="60" t="s">
        <v>481</v>
      </c>
      <c r="E19" s="81">
        <v>1178</v>
      </c>
      <c r="F19" s="81">
        <v>1178</v>
      </c>
      <c r="G19" s="90">
        <v>0</v>
      </c>
      <c r="H19" s="61"/>
      <c r="I19" s="69" t="s">
        <v>2233</v>
      </c>
    </row>
    <row r="20" spans="1:9">
      <c r="A20" s="70" t="s">
        <v>9</v>
      </c>
      <c r="B20" s="54" t="s">
        <v>67</v>
      </c>
      <c r="C20" s="54" t="s">
        <v>602</v>
      </c>
      <c r="D20" s="54" t="s">
        <v>73</v>
      </c>
      <c r="E20" s="82">
        <v>11788</v>
      </c>
      <c r="F20" s="82">
        <v>11765</v>
      </c>
      <c r="G20" s="91">
        <f>(Table2[[#This Row],[Reporting - Volumes]]-Table2[[#This Row],[Fabric Volumes]])/Table2[[#This Row],[Reporting - Volumes]]</f>
        <v>1.9511367492365116E-3</v>
      </c>
      <c r="H20" s="54" t="s">
        <v>2237</v>
      </c>
      <c r="I20" s="67" t="s">
        <v>2232</v>
      </c>
    </row>
    <row r="21" spans="1:9">
      <c r="A21" s="70" t="s">
        <v>9</v>
      </c>
      <c r="B21" s="54" t="s">
        <v>67</v>
      </c>
      <c r="C21" s="54" t="s">
        <v>2242</v>
      </c>
      <c r="D21" s="54" t="s">
        <v>630</v>
      </c>
      <c r="E21" s="97">
        <v>3959</v>
      </c>
      <c r="F21" s="97">
        <v>3943</v>
      </c>
      <c r="G21" s="98">
        <v>4.0414200000000004E-3</v>
      </c>
      <c r="H21" s="54"/>
      <c r="I21" s="103" t="s">
        <v>2232</v>
      </c>
    </row>
    <row r="22" spans="1:9">
      <c r="A22" s="70" t="s">
        <v>9</v>
      </c>
      <c r="B22" s="54" t="s">
        <v>67</v>
      </c>
      <c r="C22" s="54" t="s">
        <v>411</v>
      </c>
      <c r="D22" s="54" t="s">
        <v>412</v>
      </c>
      <c r="E22" s="97">
        <v>35918</v>
      </c>
      <c r="F22" s="97">
        <v>35551</v>
      </c>
      <c r="G22" s="98">
        <v>1.02177E-2</v>
      </c>
      <c r="H22" s="54" t="s">
        <v>2237</v>
      </c>
      <c r="I22" s="103" t="s">
        <v>2232</v>
      </c>
    </row>
    <row r="23" spans="1:9" ht="45">
      <c r="A23" s="71" t="s">
        <v>9</v>
      </c>
      <c r="B23" s="56" t="s">
        <v>67</v>
      </c>
      <c r="C23" s="56" t="s">
        <v>506</v>
      </c>
      <c r="D23" s="56" t="s">
        <v>507</v>
      </c>
      <c r="E23" s="84">
        <v>15231</v>
      </c>
      <c r="F23" s="84">
        <v>14919</v>
      </c>
      <c r="G23" s="93">
        <v>2.0484499999999999E-2</v>
      </c>
      <c r="H23" s="59" t="s">
        <v>2243</v>
      </c>
      <c r="I23" s="72" t="s">
        <v>2239</v>
      </c>
    </row>
    <row r="24" spans="1:9" ht="45">
      <c r="A24" s="73" t="s">
        <v>9</v>
      </c>
      <c r="B24" s="74" t="s">
        <v>67</v>
      </c>
      <c r="C24" s="74" t="s">
        <v>426</v>
      </c>
      <c r="D24" s="74" t="s">
        <v>427</v>
      </c>
      <c r="E24" s="85">
        <v>2587</v>
      </c>
      <c r="F24" s="85">
        <v>2525</v>
      </c>
      <c r="G24" s="94">
        <v>2.3966000000000001E-2</v>
      </c>
      <c r="H24" s="96" t="s">
        <v>2244</v>
      </c>
      <c r="I24" s="75" t="s">
        <v>2239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F3AE1-CC8E-4F25-8A16-0C70CBBF5E02}">
  <dimension ref="A1:D9"/>
  <sheetViews>
    <sheetView workbookViewId="0">
      <selection activeCell="C18" sqref="C18"/>
    </sheetView>
  </sheetViews>
  <sheetFormatPr defaultRowHeight="15"/>
  <cols>
    <col min="2" max="2" width="18.85546875" customWidth="1"/>
    <col min="3" max="3" width="35.28515625" customWidth="1"/>
  </cols>
  <sheetData>
    <row r="1" spans="1:4">
      <c r="A1" t="s">
        <v>9</v>
      </c>
      <c r="B1" t="s">
        <v>332</v>
      </c>
      <c r="C1" t="s">
        <v>2245</v>
      </c>
      <c r="D1" s="8">
        <v>1551</v>
      </c>
    </row>
    <row r="2" spans="1:4">
      <c r="A2" t="s">
        <v>9</v>
      </c>
      <c r="B2" t="s">
        <v>332</v>
      </c>
      <c r="C2" t="s">
        <v>2246</v>
      </c>
      <c r="D2" s="8">
        <v>9963</v>
      </c>
    </row>
    <row r="3" spans="1:4">
      <c r="A3" t="s">
        <v>9</v>
      </c>
      <c r="B3" t="s">
        <v>332</v>
      </c>
      <c r="C3" t="s">
        <v>2247</v>
      </c>
      <c r="D3" s="8">
        <v>10185</v>
      </c>
    </row>
    <row r="4" spans="1:4">
      <c r="A4" t="s">
        <v>182</v>
      </c>
      <c r="B4" t="s">
        <v>332</v>
      </c>
      <c r="C4" t="s">
        <v>2245</v>
      </c>
      <c r="D4">
        <v>606</v>
      </c>
    </row>
    <row r="5" spans="1:4">
      <c r="A5" t="s">
        <v>182</v>
      </c>
      <c r="B5" t="s">
        <v>332</v>
      </c>
      <c r="C5" t="s">
        <v>2246</v>
      </c>
      <c r="D5" s="8">
        <v>3491</v>
      </c>
    </row>
    <row r="6" spans="1:4">
      <c r="A6" t="s">
        <v>182</v>
      </c>
      <c r="B6" t="s">
        <v>332</v>
      </c>
      <c r="C6" t="s">
        <v>2247</v>
      </c>
      <c r="D6" s="8">
        <v>3664</v>
      </c>
    </row>
    <row r="7" spans="1:4">
      <c r="A7" t="s">
        <v>239</v>
      </c>
      <c r="B7" t="s">
        <v>332</v>
      </c>
      <c r="C7" t="s">
        <v>2245</v>
      </c>
      <c r="D7">
        <v>238</v>
      </c>
    </row>
    <row r="8" spans="1:4">
      <c r="A8" t="s">
        <v>239</v>
      </c>
      <c r="B8" t="s">
        <v>332</v>
      </c>
      <c r="C8" t="s">
        <v>2246</v>
      </c>
      <c r="D8">
        <v>915</v>
      </c>
    </row>
    <row r="9" spans="1:4">
      <c r="A9" t="s">
        <v>239</v>
      </c>
      <c r="B9" t="s">
        <v>332</v>
      </c>
      <c r="C9" t="s">
        <v>2247</v>
      </c>
      <c r="D9">
        <v>973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8C12-ED1C-4485-9F1C-A8DCBF151312}">
  <dimension ref="A1:E26"/>
  <sheetViews>
    <sheetView topLeftCell="A3" workbookViewId="0">
      <selection activeCell="E5" sqref="E5"/>
    </sheetView>
  </sheetViews>
  <sheetFormatPr defaultRowHeight="15"/>
  <cols>
    <col min="1" max="1" width="15" customWidth="1"/>
    <col min="2" max="2" width="16" customWidth="1"/>
    <col min="3" max="3" width="18.42578125" customWidth="1"/>
    <col min="4" max="4" width="15.7109375" customWidth="1"/>
    <col min="5" max="5" width="113.85546875" customWidth="1"/>
  </cols>
  <sheetData>
    <row r="1" spans="1:5">
      <c r="A1" s="10" t="s">
        <v>2248</v>
      </c>
      <c r="B1" s="9" t="s">
        <v>2249</v>
      </c>
      <c r="C1" s="9" t="s">
        <v>2250</v>
      </c>
      <c r="D1" s="9" t="s">
        <v>2251</v>
      </c>
      <c r="E1" s="9" t="s">
        <v>2252</v>
      </c>
    </row>
    <row r="2" spans="1:5">
      <c r="A2" t="s">
        <v>2253</v>
      </c>
      <c r="B2" t="s">
        <v>2254</v>
      </c>
      <c r="C2" t="s">
        <v>2255</v>
      </c>
      <c r="D2" t="s">
        <v>2256</v>
      </c>
      <c r="E2" t="s">
        <v>2257</v>
      </c>
    </row>
    <row r="3" spans="1:5" ht="409.5">
      <c r="A3" t="s">
        <v>2253</v>
      </c>
      <c r="B3" t="s">
        <v>2258</v>
      </c>
      <c r="C3" t="s">
        <v>2255</v>
      </c>
      <c r="D3" t="s">
        <v>364</v>
      </c>
      <c r="E3" s="11" t="s">
        <v>2259</v>
      </c>
    </row>
    <row r="4" spans="1:5" ht="60.75" customHeight="1">
      <c r="A4" t="s">
        <v>2260</v>
      </c>
      <c r="B4" t="s">
        <v>2261</v>
      </c>
      <c r="C4" t="s">
        <v>2255</v>
      </c>
      <c r="D4" t="s">
        <v>364</v>
      </c>
      <c r="E4" s="11" t="s">
        <v>2262</v>
      </c>
    </row>
    <row r="5" spans="1:5">
      <c r="A5" t="s">
        <v>2263</v>
      </c>
      <c r="B5" t="s">
        <v>2254</v>
      </c>
      <c r="C5" t="s">
        <v>2255</v>
      </c>
      <c r="D5" t="s">
        <v>2256</v>
      </c>
      <c r="E5" t="s">
        <v>2264</v>
      </c>
    </row>
    <row r="6" spans="1:5" ht="164.25" customHeight="1">
      <c r="A6" t="s">
        <v>2265</v>
      </c>
      <c r="B6" t="s">
        <v>2261</v>
      </c>
      <c r="C6" t="s">
        <v>2255</v>
      </c>
      <c r="D6" t="s">
        <v>364</v>
      </c>
      <c r="E6" s="12" t="s">
        <v>2266</v>
      </c>
    </row>
    <row r="7" spans="1:5" ht="257.25" customHeight="1">
      <c r="A7" t="s">
        <v>2267</v>
      </c>
      <c r="B7" t="s">
        <v>2261</v>
      </c>
      <c r="C7" t="s">
        <v>2255</v>
      </c>
      <c r="D7" t="s">
        <v>2268</v>
      </c>
      <c r="E7" s="11" t="s">
        <v>2269</v>
      </c>
    </row>
    <row r="8" spans="1:5" ht="75">
      <c r="A8" t="s">
        <v>2267</v>
      </c>
      <c r="B8" t="s">
        <v>2258</v>
      </c>
      <c r="C8" t="s">
        <v>2255</v>
      </c>
      <c r="D8" t="s">
        <v>364</v>
      </c>
      <c r="E8" s="11" t="s">
        <v>2270</v>
      </c>
    </row>
    <row r="14" spans="1:5">
      <c r="E14" t="s">
        <v>2271</v>
      </c>
    </row>
    <row r="26" spans="5:5">
      <c r="E26" t="s">
        <v>2271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8002D-9336-46DF-907E-3B96731A6BF3}">
  <sheetPr filterMode="1"/>
  <dimension ref="A1:D105"/>
  <sheetViews>
    <sheetView workbookViewId="0">
      <selection activeCell="B18" sqref="B18"/>
    </sheetView>
  </sheetViews>
  <sheetFormatPr defaultColWidth="101.28515625" defaultRowHeight="15"/>
  <cols>
    <col min="1" max="1" width="4" bestFit="1" customWidth="1"/>
    <col min="2" max="2" width="96.28515625" bestFit="1" customWidth="1"/>
    <col min="3" max="3" width="7.7109375" bestFit="1" customWidth="1"/>
  </cols>
  <sheetData>
    <row r="1" spans="1:4">
      <c r="B1" t="s">
        <v>1747</v>
      </c>
      <c r="C1" t="s">
        <v>2272</v>
      </c>
    </row>
    <row r="2" spans="1:4" hidden="1">
      <c r="A2" s="15">
        <v>0</v>
      </c>
      <c r="B2" s="15" t="s">
        <v>2091</v>
      </c>
      <c r="C2" s="15">
        <v>2772</v>
      </c>
      <c r="D2" s="15"/>
    </row>
    <row r="3" spans="1:4" hidden="1">
      <c r="A3" s="15">
        <v>1</v>
      </c>
      <c r="B3" s="15" t="s">
        <v>2108</v>
      </c>
      <c r="C3" s="15">
        <v>2455</v>
      </c>
      <c r="D3" s="15"/>
    </row>
    <row r="4" spans="1:4" hidden="1">
      <c r="A4" s="15">
        <v>2</v>
      </c>
      <c r="B4" s="15" t="s">
        <v>2074</v>
      </c>
      <c r="C4" s="15">
        <v>1162</v>
      </c>
      <c r="D4" s="15"/>
    </row>
    <row r="5" spans="1:4" hidden="1">
      <c r="A5" s="15">
        <v>3</v>
      </c>
      <c r="B5" s="15" t="s">
        <v>2072</v>
      </c>
      <c r="C5" s="15">
        <v>1152</v>
      </c>
      <c r="D5" s="15"/>
    </row>
    <row r="6" spans="1:4" hidden="1">
      <c r="A6" s="15">
        <v>4</v>
      </c>
      <c r="B6" s="15" t="s">
        <v>2071</v>
      </c>
      <c r="C6" s="15">
        <v>1129</v>
      </c>
      <c r="D6" s="15"/>
    </row>
    <row r="7" spans="1:4" hidden="1">
      <c r="A7" s="15">
        <v>5</v>
      </c>
      <c r="B7" s="15" t="s">
        <v>2073</v>
      </c>
      <c r="C7" s="15">
        <v>1124</v>
      </c>
      <c r="D7" s="15"/>
    </row>
    <row r="8" spans="1:4" hidden="1">
      <c r="A8" s="15">
        <v>6</v>
      </c>
      <c r="B8" s="15" t="s">
        <v>2106</v>
      </c>
      <c r="C8" s="15">
        <v>1104</v>
      </c>
      <c r="D8" s="15"/>
    </row>
    <row r="9" spans="1:4" hidden="1">
      <c r="A9" s="15">
        <v>7</v>
      </c>
      <c r="B9" s="15" t="s">
        <v>2109</v>
      </c>
      <c r="C9" s="15">
        <v>1092</v>
      </c>
      <c r="D9" s="15"/>
    </row>
    <row r="10" spans="1:4" hidden="1">
      <c r="A10" s="15">
        <v>8</v>
      </c>
      <c r="B10" s="15" t="s">
        <v>2114</v>
      </c>
      <c r="C10" s="15">
        <v>1081</v>
      </c>
      <c r="D10" s="15"/>
    </row>
    <row r="11" spans="1:4" hidden="1">
      <c r="A11" s="15">
        <v>9</v>
      </c>
      <c r="B11" s="15" t="s">
        <v>2105</v>
      </c>
      <c r="C11" s="15">
        <v>971</v>
      </c>
      <c r="D11" s="15"/>
    </row>
    <row r="12" spans="1:4" hidden="1">
      <c r="A12" s="15">
        <v>10</v>
      </c>
      <c r="B12" s="15" t="s">
        <v>2076</v>
      </c>
      <c r="C12" s="15">
        <v>860</v>
      </c>
      <c r="D12" s="15"/>
    </row>
    <row r="13" spans="1:4" hidden="1">
      <c r="A13" s="15">
        <v>11</v>
      </c>
      <c r="B13" s="15" t="s">
        <v>2077</v>
      </c>
      <c r="C13" s="15">
        <v>860</v>
      </c>
      <c r="D13" s="15"/>
    </row>
    <row r="14" spans="1:4" hidden="1">
      <c r="A14" s="15">
        <v>12</v>
      </c>
      <c r="B14" s="15" t="s">
        <v>2103</v>
      </c>
      <c r="C14" s="15">
        <v>858</v>
      </c>
      <c r="D14" s="15"/>
    </row>
    <row r="15" spans="1:4" hidden="1">
      <c r="A15" s="15">
        <v>13</v>
      </c>
      <c r="B15" s="15" t="s">
        <v>2075</v>
      </c>
      <c r="C15" s="15">
        <v>830</v>
      </c>
      <c r="D15" s="15"/>
    </row>
    <row r="16" spans="1:4" hidden="1">
      <c r="A16" s="15">
        <v>14</v>
      </c>
      <c r="B16" s="15" t="s">
        <v>2102</v>
      </c>
      <c r="C16" s="15">
        <v>829</v>
      </c>
      <c r="D16" s="15"/>
    </row>
    <row r="17" spans="1:4" hidden="1">
      <c r="A17" s="15">
        <v>15</v>
      </c>
      <c r="B17" s="15" t="s">
        <v>2117</v>
      </c>
      <c r="C17" s="15">
        <v>656</v>
      </c>
      <c r="D17" s="15"/>
    </row>
    <row r="18" spans="1:4">
      <c r="A18" s="15">
        <v>16</v>
      </c>
      <c r="B18" s="15" t="s">
        <v>2081</v>
      </c>
      <c r="C18" s="15">
        <v>473</v>
      </c>
      <c r="D18" s="15"/>
    </row>
    <row r="19" spans="1:4" hidden="1">
      <c r="A19" s="15">
        <v>17</v>
      </c>
      <c r="B19" s="51" t="s">
        <v>2104</v>
      </c>
      <c r="C19" s="15">
        <v>441</v>
      </c>
      <c r="D19" s="15" t="s">
        <v>2273</v>
      </c>
    </row>
    <row r="20" spans="1:4" hidden="1">
      <c r="A20" s="15">
        <v>18</v>
      </c>
      <c r="B20" s="51" t="s">
        <v>1792</v>
      </c>
      <c r="C20" s="15">
        <v>414</v>
      </c>
      <c r="D20" s="15" t="s">
        <v>2274</v>
      </c>
    </row>
    <row r="21" spans="1:4" hidden="1">
      <c r="A21" s="15">
        <v>19</v>
      </c>
      <c r="B21" s="15" t="s">
        <v>1794</v>
      </c>
      <c r="C21" s="15">
        <v>414</v>
      </c>
      <c r="D21" s="15"/>
    </row>
    <row r="22" spans="1:4" hidden="1">
      <c r="A22" s="15">
        <v>20</v>
      </c>
      <c r="B22" s="15" t="s">
        <v>2275</v>
      </c>
      <c r="C22" s="15">
        <v>363</v>
      </c>
      <c r="D22" s="15"/>
    </row>
    <row r="23" spans="1:4" hidden="1">
      <c r="A23" s="15">
        <v>21</v>
      </c>
      <c r="B23" s="15" t="s">
        <v>2082</v>
      </c>
      <c r="C23" s="15">
        <v>288</v>
      </c>
      <c r="D23" s="15"/>
    </row>
    <row r="24" spans="1:4" hidden="1">
      <c r="A24" s="15">
        <v>22</v>
      </c>
      <c r="B24" s="15" t="s">
        <v>2079</v>
      </c>
      <c r="C24" s="15">
        <v>263</v>
      </c>
      <c r="D24" s="15"/>
    </row>
    <row r="25" spans="1:4">
      <c r="A25" s="15">
        <v>23</v>
      </c>
      <c r="B25" s="15" t="s">
        <v>2078</v>
      </c>
      <c r="C25" s="15">
        <v>263</v>
      </c>
      <c r="D25" s="15"/>
    </row>
    <row r="26" spans="1:4" hidden="1">
      <c r="A26" s="15">
        <v>24</v>
      </c>
      <c r="B26" s="15" t="s">
        <v>2080</v>
      </c>
      <c r="C26" s="15">
        <v>263</v>
      </c>
      <c r="D26" s="15"/>
    </row>
    <row r="27" spans="1:4" hidden="1">
      <c r="A27" s="15">
        <v>25</v>
      </c>
      <c r="B27" s="15" t="s">
        <v>2276</v>
      </c>
      <c r="C27" s="15">
        <v>241</v>
      </c>
      <c r="D27" s="15"/>
    </row>
    <row r="28" spans="1:4" hidden="1">
      <c r="A28" s="15">
        <v>26</v>
      </c>
      <c r="B28" s="15" t="s">
        <v>2277</v>
      </c>
      <c r="C28" s="15">
        <v>223</v>
      </c>
      <c r="D28" s="15"/>
    </row>
    <row r="29" spans="1:4" hidden="1">
      <c r="A29" s="15">
        <v>27</v>
      </c>
      <c r="B29" s="15" t="s">
        <v>2093</v>
      </c>
      <c r="C29" s="15">
        <v>159</v>
      </c>
      <c r="D29" s="15"/>
    </row>
    <row r="30" spans="1:4" hidden="1">
      <c r="A30" s="15">
        <v>28</v>
      </c>
      <c r="B30" s="15" t="s">
        <v>2094</v>
      </c>
      <c r="C30" s="15">
        <v>159</v>
      </c>
      <c r="D30" s="15"/>
    </row>
    <row r="31" spans="1:4" hidden="1">
      <c r="A31" s="15">
        <v>29</v>
      </c>
      <c r="B31" s="15" t="s">
        <v>2278</v>
      </c>
      <c r="C31" s="15">
        <v>159</v>
      </c>
      <c r="D31" s="15"/>
    </row>
    <row r="32" spans="1:4" hidden="1">
      <c r="A32" s="15">
        <v>30</v>
      </c>
      <c r="B32" s="15" t="s">
        <v>1819</v>
      </c>
      <c r="C32" s="15">
        <v>111</v>
      </c>
      <c r="D32" s="15"/>
    </row>
    <row r="33" spans="1:4" hidden="1">
      <c r="A33" s="15">
        <v>31</v>
      </c>
      <c r="B33" s="15" t="s">
        <v>2084</v>
      </c>
      <c r="C33" s="15">
        <v>103</v>
      </c>
      <c r="D33" s="15"/>
    </row>
    <row r="34" spans="1:4" hidden="1">
      <c r="A34" s="15">
        <v>32</v>
      </c>
      <c r="B34" s="15" t="s">
        <v>2083</v>
      </c>
      <c r="C34" s="15">
        <v>88</v>
      </c>
      <c r="D34" s="15"/>
    </row>
    <row r="35" spans="1:4" hidden="1">
      <c r="A35" s="15">
        <v>33</v>
      </c>
      <c r="B35" s="15" t="s">
        <v>2279</v>
      </c>
      <c r="C35" s="15">
        <v>76</v>
      </c>
      <c r="D35" s="15"/>
    </row>
    <row r="36" spans="1:4" hidden="1">
      <c r="A36" s="15">
        <v>34</v>
      </c>
      <c r="B36" s="15" t="s">
        <v>2280</v>
      </c>
      <c r="C36" s="15">
        <v>66</v>
      </c>
      <c r="D36" s="15"/>
    </row>
    <row r="37" spans="1:4" hidden="1">
      <c r="A37" s="15">
        <v>35</v>
      </c>
      <c r="B37" s="15" t="s">
        <v>2038</v>
      </c>
      <c r="C37" s="15">
        <v>66</v>
      </c>
      <c r="D37" s="15"/>
    </row>
    <row r="38" spans="1:4" hidden="1">
      <c r="A38" s="15">
        <v>36</v>
      </c>
      <c r="B38" s="15" t="s">
        <v>2215</v>
      </c>
      <c r="C38" s="15">
        <v>63</v>
      </c>
      <c r="D38" s="15"/>
    </row>
    <row r="39" spans="1:4" hidden="1">
      <c r="A39" s="15">
        <v>37</v>
      </c>
      <c r="B39" s="15" t="s">
        <v>2281</v>
      </c>
      <c r="C39" s="15">
        <v>62</v>
      </c>
      <c r="D39" s="15"/>
    </row>
    <row r="40" spans="1:4" hidden="1">
      <c r="A40" s="15">
        <v>38</v>
      </c>
      <c r="B40" s="15" t="s">
        <v>1848</v>
      </c>
      <c r="C40" s="15">
        <v>61</v>
      </c>
      <c r="D40" s="15"/>
    </row>
    <row r="41" spans="1:4" hidden="1">
      <c r="A41" s="15">
        <v>39</v>
      </c>
      <c r="B41" s="15" t="s">
        <v>2282</v>
      </c>
      <c r="C41" s="15">
        <v>60</v>
      </c>
      <c r="D41" s="15"/>
    </row>
    <row r="42" spans="1:4" hidden="1">
      <c r="A42" s="15">
        <v>40</v>
      </c>
      <c r="B42" s="15" t="s">
        <v>1904</v>
      </c>
      <c r="C42" s="15">
        <v>60</v>
      </c>
      <c r="D42" s="15"/>
    </row>
    <row r="43" spans="1:4" hidden="1">
      <c r="A43" s="15">
        <v>41</v>
      </c>
      <c r="B43" s="15" t="s">
        <v>1834</v>
      </c>
      <c r="C43" s="15">
        <v>51</v>
      </c>
      <c r="D43" s="15"/>
    </row>
    <row r="44" spans="1:4" hidden="1">
      <c r="A44" s="15">
        <v>42</v>
      </c>
      <c r="B44" s="15" t="s">
        <v>1908</v>
      </c>
      <c r="C44" s="15">
        <v>49</v>
      </c>
      <c r="D44" s="15"/>
    </row>
    <row r="45" spans="1:4" hidden="1">
      <c r="A45" s="15">
        <v>43</v>
      </c>
      <c r="B45" s="15" t="s">
        <v>2283</v>
      </c>
      <c r="C45" s="15">
        <v>48</v>
      </c>
      <c r="D45" s="15"/>
    </row>
    <row r="46" spans="1:4" hidden="1">
      <c r="A46" s="15">
        <v>44</v>
      </c>
      <c r="B46" s="15" t="s">
        <v>2284</v>
      </c>
      <c r="C46" s="15">
        <v>47</v>
      </c>
      <c r="D46" s="15"/>
    </row>
    <row r="47" spans="1:4" hidden="1">
      <c r="A47" s="15">
        <v>45</v>
      </c>
      <c r="B47" s="15" t="s">
        <v>2202</v>
      </c>
      <c r="C47" s="15">
        <v>45</v>
      </c>
      <c r="D47" s="15"/>
    </row>
    <row r="48" spans="1:4" hidden="1">
      <c r="A48" s="15">
        <v>46</v>
      </c>
      <c r="B48" s="15" t="s">
        <v>2216</v>
      </c>
      <c r="C48" s="15">
        <v>45</v>
      </c>
      <c r="D48" s="15"/>
    </row>
    <row r="49" spans="1:4" hidden="1">
      <c r="A49" s="15">
        <v>47</v>
      </c>
      <c r="B49" s="15" t="s">
        <v>2225</v>
      </c>
      <c r="C49" s="15">
        <v>43</v>
      </c>
      <c r="D49" s="15"/>
    </row>
    <row r="50" spans="1:4" hidden="1">
      <c r="A50" s="15">
        <v>48</v>
      </c>
      <c r="B50" s="15" t="s">
        <v>2285</v>
      </c>
      <c r="C50" s="15">
        <v>39</v>
      </c>
      <c r="D50" s="15"/>
    </row>
    <row r="51" spans="1:4">
      <c r="A51" s="15">
        <v>49</v>
      </c>
      <c r="B51" s="15" t="s">
        <v>2199</v>
      </c>
      <c r="C51" s="15">
        <v>24</v>
      </c>
      <c r="D51" s="15"/>
    </row>
    <row r="52" spans="1:4" hidden="1">
      <c r="A52" s="15">
        <v>50</v>
      </c>
      <c r="B52" s="15" t="s">
        <v>1933</v>
      </c>
      <c r="C52" s="15">
        <v>23</v>
      </c>
      <c r="D52" s="15"/>
    </row>
    <row r="53" spans="1:4" hidden="1">
      <c r="A53" s="15">
        <v>51</v>
      </c>
      <c r="B53" s="15" t="s">
        <v>2115</v>
      </c>
      <c r="C53" s="15">
        <v>23</v>
      </c>
      <c r="D53" s="15"/>
    </row>
    <row r="54" spans="1:4" hidden="1">
      <c r="A54" s="15">
        <v>52</v>
      </c>
      <c r="B54" s="15" t="s">
        <v>1850</v>
      </c>
      <c r="C54" s="15">
        <v>22</v>
      </c>
      <c r="D54" s="15"/>
    </row>
    <row r="55" spans="1:4" hidden="1">
      <c r="A55" s="15">
        <v>53</v>
      </c>
      <c r="B55" s="15" t="s">
        <v>2286</v>
      </c>
      <c r="C55" s="15">
        <v>18</v>
      </c>
      <c r="D55" s="15"/>
    </row>
    <row r="56" spans="1:4">
      <c r="A56" s="15">
        <v>54</v>
      </c>
      <c r="B56" s="15" t="s">
        <v>2287</v>
      </c>
      <c r="C56" s="15">
        <v>18</v>
      </c>
      <c r="D56" s="15"/>
    </row>
    <row r="57" spans="1:4" hidden="1">
      <c r="A57" s="15">
        <v>55</v>
      </c>
      <c r="B57" s="15" t="s">
        <v>2288</v>
      </c>
      <c r="C57" s="15">
        <v>18</v>
      </c>
      <c r="D57" s="15"/>
    </row>
    <row r="58" spans="1:4" hidden="1">
      <c r="A58" s="15">
        <v>56</v>
      </c>
      <c r="B58" s="15" t="s">
        <v>2289</v>
      </c>
      <c r="C58" s="15">
        <v>16</v>
      </c>
      <c r="D58" s="15"/>
    </row>
    <row r="59" spans="1:4" hidden="1">
      <c r="A59" s="15">
        <v>57</v>
      </c>
      <c r="B59" s="15" t="s">
        <v>1940</v>
      </c>
      <c r="C59" s="15">
        <v>13</v>
      </c>
      <c r="D59" s="15"/>
    </row>
    <row r="60" spans="1:4" hidden="1">
      <c r="A60" s="15">
        <v>58</v>
      </c>
      <c r="B60" s="15" t="s">
        <v>1942</v>
      </c>
      <c r="C60" s="15">
        <v>13</v>
      </c>
      <c r="D60" s="15"/>
    </row>
    <row r="61" spans="1:4" hidden="1">
      <c r="A61" s="15">
        <v>59</v>
      </c>
      <c r="B61" s="15" t="s">
        <v>1922</v>
      </c>
      <c r="C61" s="15">
        <v>13</v>
      </c>
      <c r="D61" s="15"/>
    </row>
    <row r="62" spans="1:4" hidden="1">
      <c r="A62" s="15">
        <v>60</v>
      </c>
      <c r="B62" s="15" t="s">
        <v>2000</v>
      </c>
      <c r="C62" s="15">
        <v>12</v>
      </c>
      <c r="D62" s="15"/>
    </row>
    <row r="63" spans="1:4" hidden="1">
      <c r="A63" s="15">
        <v>61</v>
      </c>
      <c r="B63" s="15" t="s">
        <v>2034</v>
      </c>
      <c r="C63" s="15">
        <v>12</v>
      </c>
      <c r="D63" s="15"/>
    </row>
    <row r="64" spans="1:4" hidden="1">
      <c r="A64" s="15">
        <v>62</v>
      </c>
      <c r="B64" s="15" t="s">
        <v>2290</v>
      </c>
      <c r="C64" s="15">
        <v>9</v>
      </c>
      <c r="D64" s="15"/>
    </row>
    <row r="65" spans="1:4" hidden="1">
      <c r="A65" s="15">
        <v>63</v>
      </c>
      <c r="B65" s="15" t="s">
        <v>2291</v>
      </c>
      <c r="C65" s="15">
        <v>8</v>
      </c>
      <c r="D65" s="15"/>
    </row>
    <row r="66" spans="1:4" hidden="1">
      <c r="A66" s="15">
        <v>64</v>
      </c>
      <c r="B66" s="15" t="s">
        <v>2191</v>
      </c>
      <c r="C66" s="15">
        <v>8</v>
      </c>
      <c r="D66" s="15"/>
    </row>
    <row r="67" spans="1:4" hidden="1">
      <c r="A67" s="15">
        <v>65</v>
      </c>
      <c r="B67" s="15" t="s">
        <v>2292</v>
      </c>
      <c r="C67" s="15">
        <v>8</v>
      </c>
      <c r="D67" s="15"/>
    </row>
    <row r="68" spans="1:4" hidden="1">
      <c r="A68" s="15">
        <v>66</v>
      </c>
      <c r="B68" s="15" t="s">
        <v>2293</v>
      </c>
      <c r="C68" s="15">
        <v>6</v>
      </c>
      <c r="D68" s="15"/>
    </row>
    <row r="69" spans="1:4" hidden="1">
      <c r="A69" s="15">
        <v>67</v>
      </c>
      <c r="B69" s="15" t="s">
        <v>2101</v>
      </c>
      <c r="C69" s="15">
        <v>5</v>
      </c>
      <c r="D69" s="15"/>
    </row>
    <row r="70" spans="1:4" hidden="1">
      <c r="A70" s="15">
        <v>68</v>
      </c>
      <c r="B70" s="15" t="s">
        <v>1897</v>
      </c>
      <c r="C70" s="15">
        <v>5</v>
      </c>
      <c r="D70" s="15"/>
    </row>
    <row r="71" spans="1:4" hidden="1">
      <c r="A71" s="15">
        <v>69</v>
      </c>
      <c r="B71" s="15" t="s">
        <v>1887</v>
      </c>
      <c r="C71" s="15">
        <v>5</v>
      </c>
      <c r="D71" s="15"/>
    </row>
    <row r="72" spans="1:4" hidden="1">
      <c r="A72" s="15">
        <v>70</v>
      </c>
      <c r="B72" s="15" t="s">
        <v>2107</v>
      </c>
      <c r="C72" s="15">
        <v>5</v>
      </c>
      <c r="D72" s="15"/>
    </row>
    <row r="73" spans="1:4" hidden="1">
      <c r="A73" s="15">
        <v>71</v>
      </c>
      <c r="B73" s="15" t="s">
        <v>2099</v>
      </c>
      <c r="C73" s="15">
        <v>4</v>
      </c>
      <c r="D73" s="15"/>
    </row>
    <row r="74" spans="1:4" hidden="1">
      <c r="A74" s="15">
        <v>72</v>
      </c>
      <c r="B74" s="15" t="s">
        <v>2294</v>
      </c>
      <c r="C74" s="15">
        <v>4</v>
      </c>
      <c r="D74" s="15"/>
    </row>
    <row r="75" spans="1:4" hidden="1">
      <c r="A75" s="15">
        <v>73</v>
      </c>
      <c r="B75" s="15" t="s">
        <v>2092</v>
      </c>
      <c r="C75" s="15">
        <v>3</v>
      </c>
      <c r="D75" s="15"/>
    </row>
    <row r="76" spans="1:4" hidden="1">
      <c r="A76" s="15">
        <v>74</v>
      </c>
      <c r="B76" s="15" t="s">
        <v>2192</v>
      </c>
      <c r="C76" s="15">
        <v>3</v>
      </c>
      <c r="D76" s="15"/>
    </row>
    <row r="77" spans="1:4" hidden="1">
      <c r="A77" s="15">
        <v>75</v>
      </c>
      <c r="B77" s="15" t="s">
        <v>2295</v>
      </c>
      <c r="C77" s="15">
        <v>3</v>
      </c>
      <c r="D77" s="15"/>
    </row>
    <row r="78" spans="1:4" hidden="1">
      <c r="A78" s="15">
        <v>76</v>
      </c>
      <c r="B78" s="15" t="s">
        <v>2095</v>
      </c>
      <c r="C78" s="15">
        <v>3</v>
      </c>
      <c r="D78" s="15"/>
    </row>
    <row r="79" spans="1:4" hidden="1">
      <c r="A79" s="15">
        <v>77</v>
      </c>
      <c r="B79" s="15" t="s">
        <v>2296</v>
      </c>
      <c r="C79" s="15">
        <v>3</v>
      </c>
      <c r="D79" s="15"/>
    </row>
    <row r="80" spans="1:4" hidden="1">
      <c r="A80" s="15">
        <v>78</v>
      </c>
      <c r="B80" s="15" t="s">
        <v>2097</v>
      </c>
      <c r="C80" s="15">
        <v>3</v>
      </c>
      <c r="D80" s="15"/>
    </row>
    <row r="81" spans="1:4" hidden="1">
      <c r="A81" s="15">
        <v>79</v>
      </c>
      <c r="B81" s="15" t="s">
        <v>2062</v>
      </c>
      <c r="C81" s="15">
        <v>3</v>
      </c>
      <c r="D81" s="15"/>
    </row>
    <row r="82" spans="1:4" hidden="1">
      <c r="A82" s="15">
        <v>80</v>
      </c>
      <c r="B82" s="15" t="s">
        <v>2297</v>
      </c>
      <c r="C82" s="15">
        <v>2</v>
      </c>
      <c r="D82" s="15"/>
    </row>
    <row r="83" spans="1:4" hidden="1">
      <c r="A83" s="15">
        <v>81</v>
      </c>
      <c r="B83" s="15" t="s">
        <v>2298</v>
      </c>
      <c r="C83" s="15">
        <v>2</v>
      </c>
      <c r="D83" s="15"/>
    </row>
    <row r="84" spans="1:4" hidden="1">
      <c r="A84" s="15">
        <v>82</v>
      </c>
      <c r="B84" s="15" t="s">
        <v>2008</v>
      </c>
      <c r="C84" s="15">
        <v>2</v>
      </c>
      <c r="D84" s="15"/>
    </row>
    <row r="85" spans="1:4" hidden="1">
      <c r="A85" s="15">
        <v>83</v>
      </c>
      <c r="B85" s="15" t="s">
        <v>2299</v>
      </c>
      <c r="C85" s="15">
        <v>2</v>
      </c>
      <c r="D85" s="15"/>
    </row>
    <row r="86" spans="1:4" hidden="1">
      <c r="A86" s="15">
        <v>84</v>
      </c>
      <c r="B86" s="15" t="s">
        <v>1945</v>
      </c>
      <c r="C86" s="15">
        <v>2</v>
      </c>
      <c r="D86" s="15"/>
    </row>
    <row r="87" spans="1:4" hidden="1">
      <c r="A87" s="15">
        <v>85</v>
      </c>
      <c r="B87" s="15" t="s">
        <v>2300</v>
      </c>
      <c r="C87" s="15">
        <v>2</v>
      </c>
      <c r="D87" s="15"/>
    </row>
    <row r="88" spans="1:4" hidden="1">
      <c r="A88" s="15">
        <v>86</v>
      </c>
      <c r="B88" s="15" t="s">
        <v>2301</v>
      </c>
      <c r="C88" s="15">
        <v>1</v>
      </c>
      <c r="D88" s="15"/>
    </row>
    <row r="89" spans="1:4" hidden="1">
      <c r="A89" s="15">
        <v>87</v>
      </c>
      <c r="B89" s="15" t="s">
        <v>2302</v>
      </c>
      <c r="C89" s="15">
        <v>1</v>
      </c>
      <c r="D89" s="15"/>
    </row>
    <row r="90" spans="1:4" hidden="1">
      <c r="A90" s="15">
        <v>88</v>
      </c>
      <c r="B90" s="15" t="s">
        <v>2303</v>
      </c>
      <c r="C90" s="15">
        <v>1</v>
      </c>
      <c r="D90" s="15"/>
    </row>
    <row r="91" spans="1:4" hidden="1">
      <c r="A91" s="15">
        <v>89</v>
      </c>
      <c r="B91" s="15" t="s">
        <v>2304</v>
      </c>
      <c r="C91" s="15">
        <v>1</v>
      </c>
      <c r="D91" s="15"/>
    </row>
    <row r="92" spans="1:4" hidden="1">
      <c r="A92" s="15">
        <v>90</v>
      </c>
      <c r="B92" s="15" t="s">
        <v>2305</v>
      </c>
      <c r="C92" s="15">
        <v>1</v>
      </c>
      <c r="D92" s="15"/>
    </row>
    <row r="93" spans="1:4" hidden="1">
      <c r="A93" s="15">
        <v>91</v>
      </c>
      <c r="B93" s="15" t="s">
        <v>2113</v>
      </c>
      <c r="C93" s="15">
        <v>1</v>
      </c>
      <c r="D93" s="15"/>
    </row>
    <row r="94" spans="1:4" hidden="1">
      <c r="A94" s="15">
        <v>92</v>
      </c>
      <c r="B94" s="15" t="s">
        <v>2306</v>
      </c>
      <c r="C94" s="15">
        <v>1</v>
      </c>
      <c r="D94" s="15"/>
    </row>
    <row r="95" spans="1:4" hidden="1">
      <c r="A95" s="15">
        <v>93</v>
      </c>
      <c r="B95" s="15" t="s">
        <v>2307</v>
      </c>
      <c r="C95" s="15">
        <v>1</v>
      </c>
      <c r="D95" s="15"/>
    </row>
    <row r="96" spans="1:4" hidden="1">
      <c r="A96" s="15">
        <v>94</v>
      </c>
      <c r="B96" s="15" t="s">
        <v>2308</v>
      </c>
      <c r="C96" s="15">
        <v>1</v>
      </c>
      <c r="D96" s="15"/>
    </row>
    <row r="97" spans="1:4" hidden="1">
      <c r="A97" s="15">
        <v>95</v>
      </c>
      <c r="B97" s="15" t="s">
        <v>2309</v>
      </c>
      <c r="C97" s="15">
        <v>1</v>
      </c>
      <c r="D97" s="15"/>
    </row>
    <row r="98" spans="1:4" hidden="1">
      <c r="A98" s="15">
        <v>96</v>
      </c>
      <c r="B98" s="15" t="s">
        <v>2310</v>
      </c>
      <c r="C98" s="15">
        <v>1</v>
      </c>
      <c r="D98" s="15"/>
    </row>
    <row r="99" spans="1:4" hidden="1">
      <c r="A99" s="15">
        <v>97</v>
      </c>
      <c r="B99" s="15" t="s">
        <v>2311</v>
      </c>
      <c r="C99" s="15">
        <v>1</v>
      </c>
      <c r="D99" s="15"/>
    </row>
    <row r="100" spans="1:4" hidden="1">
      <c r="A100" s="15">
        <v>98</v>
      </c>
      <c r="B100" s="15" t="s">
        <v>2312</v>
      </c>
      <c r="C100" s="15">
        <v>1</v>
      </c>
      <c r="D100" s="15"/>
    </row>
    <row r="101" spans="1:4" hidden="1">
      <c r="A101" s="15">
        <v>99</v>
      </c>
      <c r="B101" s="15" t="s">
        <v>2313</v>
      </c>
      <c r="C101" s="15">
        <v>1</v>
      </c>
      <c r="D101" s="15"/>
    </row>
    <row r="102" spans="1:4" hidden="1">
      <c r="A102" s="15">
        <v>100</v>
      </c>
      <c r="B102" s="15" t="s">
        <v>2314</v>
      </c>
      <c r="C102" s="15">
        <v>1</v>
      </c>
      <c r="D102" s="15"/>
    </row>
    <row r="103" spans="1:4" hidden="1">
      <c r="A103" s="15">
        <v>101</v>
      </c>
      <c r="B103" s="15" t="s">
        <v>2118</v>
      </c>
      <c r="C103" s="15">
        <v>1</v>
      </c>
      <c r="D103" s="15"/>
    </row>
    <row r="104" spans="1:4" hidden="1">
      <c r="A104" s="15">
        <v>102</v>
      </c>
      <c r="B104" s="15" t="s">
        <v>2315</v>
      </c>
      <c r="C104" s="15">
        <v>1</v>
      </c>
      <c r="D104" s="15"/>
    </row>
    <row r="105" spans="1:4" hidden="1">
      <c r="A105" s="15">
        <v>103</v>
      </c>
      <c r="B105" s="15" t="s">
        <v>2316</v>
      </c>
      <c r="C105" s="15">
        <v>1</v>
      </c>
      <c r="D105" s="15"/>
    </row>
  </sheetData>
  <autoFilter ref="A1:D105" xr:uid="{DC28002D-9336-46DF-907E-3B96731A6BF3}">
    <filterColumn colId="1">
      <filters>
        <filter val="New Business - Document Transmitted - Insurance Product Information Document"/>
        <filter val="New Business - Document Transmitted - InsuranceProductInformationDocument"/>
        <filter val="New Business - Emailed Document - Insurance Product Information Document"/>
        <filter val="New Business - Emailed Document - InsuranceProductInformationDocument"/>
      </filters>
    </filterColumn>
  </autoFilter>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08FCA5A2718748BE6FC91ED569E536" ma:contentTypeVersion="3" ma:contentTypeDescription="Create a new document." ma:contentTypeScope="" ma:versionID="e9ded6eae5126e65dbe85dec31fc3606">
  <xsd:schema xmlns:xsd="http://www.w3.org/2001/XMLSchema" xmlns:xs="http://www.w3.org/2001/XMLSchema" xmlns:p="http://schemas.microsoft.com/office/2006/metadata/properties" xmlns:ns2="c61e7b55-e4bb-4bf1-98b2-a4ccdd257b62" targetNamespace="http://schemas.microsoft.com/office/2006/metadata/properties" ma:root="true" ma:fieldsID="64c9d899ed6dfa8c082b3014bca7538b" ns2:_="">
    <xsd:import namespace="c61e7b55-e4bb-4bf1-98b2-a4ccdd257b6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1e7b55-e4bb-4bf1-98b2-a4ccdd257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C7F417-1B14-4898-AA24-C2C941673542}"/>
</file>

<file path=customXml/itemProps2.xml><?xml version="1.0" encoding="utf-8"?>
<ds:datastoreItem xmlns:ds="http://schemas.openxmlformats.org/officeDocument/2006/customXml" ds:itemID="{8EDA2928-564D-450A-A6AD-B40001ABF98D}"/>
</file>

<file path=customXml/itemProps3.xml><?xml version="1.0" encoding="utf-8"?>
<ds:datastoreItem xmlns:ds="http://schemas.openxmlformats.org/officeDocument/2006/customXml" ds:itemID="{5C4B3A6F-7305-45A3-BF65-B6CFEB61C9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Venugopalan</dc:creator>
  <cp:keywords/>
  <dc:description/>
  <cp:lastModifiedBy/>
  <cp:revision/>
  <dcterms:created xsi:type="dcterms:W3CDTF">2026-08-07T12:54:10Z</dcterms:created>
  <dcterms:modified xsi:type="dcterms:W3CDTF">2026-09-14T10:51:00Z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0x0101008108FCA5A2718748BE6FC91ED569E536</vt:lpwstr>
  </property>
  <property fmtid="{D5CDD505-2E9C-101B-9397-08002B2CF9AE}" pid="3" name="MediaServiceImageTags">
    <vt:lpwstr/>
  </property>
</Properties>
</file>