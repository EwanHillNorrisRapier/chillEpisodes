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rapieruk-my.sharepoint.com/personal/ewan_hillnorris_rapieruk_com/Documents/Documents/GitHub/chillEpisodes/"/>
    </mc:Choice>
  </mc:AlternateContent>
  <xr:revisionPtr revIDLastSave="5" documentId="11_822C08D4BADE1D4F2D9E2EB9456A263A182D4B44" xr6:coauthVersionLast="47" xr6:coauthVersionMax="47" xr10:uidLastSave="{6DF4795B-FF45-414C-A930-0F4ACABA1BEA}"/>
  <bookViews>
    <workbookView xWindow="-110" yWindow="-110" windowWidth="25180" windowHeight="16140" tabRatio="500" activeTab="1" xr2:uid="{00000000-000D-0000-FFFF-FFFF00000000}"/>
  </bookViews>
  <sheets>
    <sheet name="Status summary" sheetId="1" r:id="rId1"/>
    <sheet name="Source migration" sheetId="3" r:id="rId2"/>
    <sheet name="Event stream steps" sheetId="2" r:id="rId3"/>
    <sheet name="Step to source" sheetId="4" r:id="rId4"/>
    <sheet name="Status key" sheetId="5" r:id="rId5"/>
  </sheets>
  <definedNames>
    <definedName name="_xlnm._FilterDatabase" localSheetId="2" hidden="1">'Event stream steps'!$A$1:$L$331</definedName>
    <definedName name="_xlnm._FilterDatabase" localSheetId="1" hidden="1">'Source migration'!$A$13:$I$55</definedName>
    <definedName name="_xlnm._FilterDatabase" localSheetId="3" hidden="1">'Step to source'!$A$6:$C$818</definedName>
    <definedName name="DeltaList">'Status key'!$C$29:$C$31</definedName>
    <definedName name="MigrationList">'Status key'!$D$29:$D$35</definedName>
    <definedName name="SourceList">'Status key'!$B$29:$B$30</definedName>
    <definedName name="StatusList">'Status key'!$A$29:$A$36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4" i="1" l="1"/>
  <c r="R34" i="1" s="1"/>
  <c r="C33" i="1"/>
  <c r="P33" i="1" s="1"/>
  <c r="C32" i="1"/>
  <c r="M32" i="1" s="1"/>
  <c r="C31" i="1"/>
  <c r="J31" i="1" s="1"/>
  <c r="C30" i="1"/>
  <c r="R30" i="1" s="1"/>
  <c r="Q29" i="1"/>
  <c r="N29" i="1"/>
  <c r="I29" i="1"/>
  <c r="G29" i="1"/>
  <c r="E29" i="1"/>
  <c r="C29" i="1"/>
  <c r="P29" i="1" s="1"/>
  <c r="Q28" i="1"/>
  <c r="G28" i="1"/>
  <c r="C28" i="1"/>
  <c r="M28" i="1" s="1"/>
  <c r="N27" i="1"/>
  <c r="I27" i="1"/>
  <c r="E27" i="1"/>
  <c r="C27" i="1"/>
  <c r="J27" i="1" s="1"/>
  <c r="C26" i="1"/>
  <c r="R26" i="1" s="1"/>
  <c r="Q25" i="1"/>
  <c r="N25" i="1"/>
  <c r="I25" i="1"/>
  <c r="G25" i="1"/>
  <c r="E25" i="1"/>
  <c r="C25" i="1"/>
  <c r="P25" i="1" s="1"/>
  <c r="Q24" i="1"/>
  <c r="G24" i="1"/>
  <c r="C24" i="1"/>
  <c r="M24" i="1" s="1"/>
  <c r="N23" i="1"/>
  <c r="I23" i="1"/>
  <c r="E23" i="1"/>
  <c r="C23" i="1"/>
  <c r="J23" i="1" s="1"/>
  <c r="C22" i="1"/>
  <c r="R22" i="1" s="1"/>
  <c r="Q21" i="1"/>
  <c r="N21" i="1"/>
  <c r="I21" i="1"/>
  <c r="G21" i="1"/>
  <c r="E21" i="1"/>
  <c r="C21" i="1"/>
  <c r="P21" i="1" s="1"/>
  <c r="Q20" i="1"/>
  <c r="G20" i="1"/>
  <c r="C20" i="1"/>
  <c r="M20" i="1" s="1"/>
  <c r="N19" i="1"/>
  <c r="I19" i="1"/>
  <c r="E19" i="1"/>
  <c r="C19" i="1"/>
  <c r="J19" i="1" s="1"/>
  <c r="C18" i="1"/>
  <c r="R18" i="1" s="1"/>
  <c r="Q17" i="1"/>
  <c r="N17" i="1"/>
  <c r="I17" i="1"/>
  <c r="G17" i="1"/>
  <c r="E17" i="1"/>
  <c r="C17" i="1"/>
  <c r="P17" i="1" s="1"/>
  <c r="Q16" i="1"/>
  <c r="G16" i="1"/>
  <c r="C16" i="1"/>
  <c r="M16" i="1" s="1"/>
  <c r="N15" i="1"/>
  <c r="I15" i="1"/>
  <c r="E15" i="1"/>
  <c r="C15" i="1"/>
  <c r="J15" i="1" s="1"/>
  <c r="C14" i="1"/>
  <c r="R14" i="1" s="1"/>
  <c r="Q13" i="1"/>
  <c r="N13" i="1"/>
  <c r="I13" i="1"/>
  <c r="G13" i="1"/>
  <c r="E13" i="1"/>
  <c r="C13" i="1"/>
  <c r="P13" i="1" s="1"/>
  <c r="Q12" i="1"/>
  <c r="G12" i="1"/>
  <c r="C12" i="1"/>
  <c r="M12" i="1" s="1"/>
  <c r="N11" i="1"/>
  <c r="I11" i="1"/>
  <c r="E11" i="1"/>
  <c r="C11" i="1"/>
  <c r="J11" i="1" s="1"/>
  <c r="C10" i="1"/>
  <c r="R10" i="1" s="1"/>
  <c r="Q9" i="1"/>
  <c r="N9" i="1"/>
  <c r="I9" i="1"/>
  <c r="G9" i="1"/>
  <c r="E9" i="1"/>
  <c r="C9" i="1"/>
  <c r="P9" i="1" s="1"/>
  <c r="Q8" i="1"/>
  <c r="G8" i="1"/>
  <c r="C8" i="1"/>
  <c r="M8" i="1" s="1"/>
  <c r="N7" i="1"/>
  <c r="I7" i="1"/>
  <c r="E7" i="1"/>
  <c r="C7" i="1"/>
  <c r="J7" i="1" s="1"/>
  <c r="I11" i="3"/>
  <c r="H11" i="3"/>
  <c r="G11" i="3"/>
  <c r="F11" i="3"/>
  <c r="E11" i="3"/>
  <c r="D11" i="3"/>
  <c r="C11" i="3"/>
  <c r="B11" i="3"/>
  <c r="I10" i="3"/>
  <c r="H10" i="3"/>
  <c r="G10" i="3"/>
  <c r="F10" i="3"/>
  <c r="E10" i="3"/>
  <c r="D10" i="3"/>
  <c r="C10" i="3"/>
  <c r="B10" i="3"/>
  <c r="I9" i="3"/>
  <c r="H9" i="3"/>
  <c r="G9" i="3"/>
  <c r="F9" i="3"/>
  <c r="E9" i="3"/>
  <c r="D9" i="3"/>
  <c r="C9" i="3"/>
  <c r="B9" i="3"/>
  <c r="I8" i="3"/>
  <c r="H8" i="3"/>
  <c r="G8" i="3"/>
  <c r="F8" i="3"/>
  <c r="E8" i="3"/>
  <c r="D8" i="3"/>
  <c r="C8" i="3"/>
  <c r="B8" i="3"/>
  <c r="I7" i="3"/>
  <c r="H7" i="3"/>
  <c r="G7" i="3"/>
  <c r="F7" i="3"/>
  <c r="E7" i="3"/>
  <c r="D7" i="3"/>
  <c r="C7" i="3"/>
  <c r="B7" i="3"/>
  <c r="I6" i="3"/>
  <c r="H6" i="3"/>
  <c r="G6" i="3"/>
  <c r="F6" i="3"/>
  <c r="E6" i="3"/>
  <c r="D6" i="3"/>
  <c r="C6" i="3"/>
  <c r="B6" i="3"/>
  <c r="K7" i="1" l="1"/>
  <c r="E8" i="1"/>
  <c r="N8" i="1"/>
  <c r="I10" i="1"/>
  <c r="K11" i="1"/>
  <c r="E12" i="1"/>
  <c r="N12" i="1"/>
  <c r="I14" i="1"/>
  <c r="K19" i="1"/>
  <c r="E20" i="1"/>
  <c r="N20" i="1"/>
  <c r="I22" i="1"/>
  <c r="K31" i="1"/>
  <c r="E32" i="1"/>
  <c r="N32" i="1"/>
  <c r="G33" i="1"/>
  <c r="Q33" i="1"/>
  <c r="I34" i="1"/>
  <c r="K15" i="1"/>
  <c r="E16" i="1"/>
  <c r="N16" i="1"/>
  <c r="I18" i="1"/>
  <c r="K23" i="1"/>
  <c r="E24" i="1"/>
  <c r="N24" i="1"/>
  <c r="I26" i="1"/>
  <c r="K27" i="1"/>
  <c r="E28" i="1"/>
  <c r="N28" i="1"/>
  <c r="I30" i="1"/>
  <c r="D7" i="1"/>
  <c r="M7" i="1"/>
  <c r="F8" i="1"/>
  <c r="P8" i="1"/>
  <c r="H9" i="1"/>
  <c r="R9" i="1"/>
  <c r="J10" i="1"/>
  <c r="D11" i="1"/>
  <c r="M11" i="1"/>
  <c r="F12" i="1"/>
  <c r="P12" i="1"/>
  <c r="H13" i="1"/>
  <c r="R13" i="1"/>
  <c r="J14" i="1"/>
  <c r="D15" i="1"/>
  <c r="M15" i="1"/>
  <c r="F16" i="1"/>
  <c r="P16" i="1"/>
  <c r="H17" i="1"/>
  <c r="R17" i="1"/>
  <c r="J18" i="1"/>
  <c r="D19" i="1"/>
  <c r="M19" i="1"/>
  <c r="F20" i="1"/>
  <c r="P20" i="1"/>
  <c r="H21" i="1"/>
  <c r="R21" i="1"/>
  <c r="J22" i="1"/>
  <c r="D23" i="1"/>
  <c r="M23" i="1"/>
  <c r="F24" i="1"/>
  <c r="P24" i="1"/>
  <c r="H25" i="1"/>
  <c r="R25" i="1"/>
  <c r="J26" i="1"/>
  <c r="D27" i="1"/>
  <c r="M27" i="1"/>
  <c r="F28" i="1"/>
  <c r="P28" i="1"/>
  <c r="H29" i="1"/>
  <c r="R29" i="1"/>
  <c r="J30" i="1"/>
  <c r="D31" i="1"/>
  <c r="M31" i="1"/>
  <c r="F32" i="1"/>
  <c r="P32" i="1"/>
  <c r="H33" i="1"/>
  <c r="R33" i="1"/>
  <c r="J34" i="1"/>
  <c r="K10" i="1"/>
  <c r="K22" i="1"/>
  <c r="K30" i="1"/>
  <c r="E31" i="1"/>
  <c r="N31" i="1"/>
  <c r="G32" i="1"/>
  <c r="Q32" i="1"/>
  <c r="I33" i="1"/>
  <c r="K34" i="1"/>
  <c r="K14" i="1"/>
  <c r="K26" i="1"/>
  <c r="F7" i="1"/>
  <c r="P7" i="1"/>
  <c r="H8" i="1"/>
  <c r="R8" i="1"/>
  <c r="J9" i="1"/>
  <c r="D10" i="1"/>
  <c r="M10" i="1"/>
  <c r="F11" i="1"/>
  <c r="P11" i="1"/>
  <c r="H12" i="1"/>
  <c r="R12" i="1"/>
  <c r="J13" i="1"/>
  <c r="D14" i="1"/>
  <c r="M14" i="1"/>
  <c r="F15" i="1"/>
  <c r="P15" i="1"/>
  <c r="H16" i="1"/>
  <c r="R16" i="1"/>
  <c r="J17" i="1"/>
  <c r="D18" i="1"/>
  <c r="M18" i="1"/>
  <c r="F19" i="1"/>
  <c r="P19" i="1"/>
  <c r="H20" i="1"/>
  <c r="R20" i="1"/>
  <c r="J21" i="1"/>
  <c r="D22" i="1"/>
  <c r="M22" i="1"/>
  <c r="F23" i="1"/>
  <c r="P23" i="1"/>
  <c r="H24" i="1"/>
  <c r="R24" i="1"/>
  <c r="J25" i="1"/>
  <c r="D26" i="1"/>
  <c r="M26" i="1"/>
  <c r="F27" i="1"/>
  <c r="P27" i="1"/>
  <c r="H28" i="1"/>
  <c r="R28" i="1"/>
  <c r="J29" i="1"/>
  <c r="D30" i="1"/>
  <c r="M30" i="1"/>
  <c r="F31" i="1"/>
  <c r="P31" i="1"/>
  <c r="H32" i="1"/>
  <c r="R32" i="1"/>
  <c r="J33" i="1"/>
  <c r="D34" i="1"/>
  <c r="M34" i="1"/>
  <c r="K18" i="1"/>
  <c r="G7" i="1"/>
  <c r="Q7" i="1"/>
  <c r="I8" i="1"/>
  <c r="K9" i="1"/>
  <c r="E10" i="1"/>
  <c r="N10" i="1"/>
  <c r="G11" i="1"/>
  <c r="Q11" i="1"/>
  <c r="I12" i="1"/>
  <c r="K13" i="1"/>
  <c r="E14" i="1"/>
  <c r="N14" i="1"/>
  <c r="G15" i="1"/>
  <c r="Q15" i="1"/>
  <c r="I16" i="1"/>
  <c r="K17" i="1"/>
  <c r="E18" i="1"/>
  <c r="N18" i="1"/>
  <c r="G19" i="1"/>
  <c r="Q19" i="1"/>
  <c r="I20" i="1"/>
  <c r="K21" i="1"/>
  <c r="E22" i="1"/>
  <c r="N22" i="1"/>
  <c r="G23" i="1"/>
  <c r="Q23" i="1"/>
  <c r="I24" i="1"/>
  <c r="K25" i="1"/>
  <c r="E26" i="1"/>
  <c r="N26" i="1"/>
  <c r="G27" i="1"/>
  <c r="Q27" i="1"/>
  <c r="I28" i="1"/>
  <c r="K29" i="1"/>
  <c r="E30" i="1"/>
  <c r="N30" i="1"/>
  <c r="G31" i="1"/>
  <c r="Q31" i="1"/>
  <c r="I32" i="1"/>
  <c r="K33" i="1"/>
  <c r="E34" i="1"/>
  <c r="N34" i="1"/>
  <c r="H7" i="1"/>
  <c r="R7" i="1"/>
  <c r="J8" i="1"/>
  <c r="D9" i="1"/>
  <c r="M9" i="1"/>
  <c r="F10" i="1"/>
  <c r="P10" i="1"/>
  <c r="H11" i="1"/>
  <c r="R11" i="1"/>
  <c r="J12" i="1"/>
  <c r="D13" i="1"/>
  <c r="M13" i="1"/>
  <c r="F14" i="1"/>
  <c r="P14" i="1"/>
  <c r="H15" i="1"/>
  <c r="R15" i="1"/>
  <c r="J16" i="1"/>
  <c r="D17" i="1"/>
  <c r="M17" i="1"/>
  <c r="F18" i="1"/>
  <c r="P18" i="1"/>
  <c r="H19" i="1"/>
  <c r="R19" i="1"/>
  <c r="J20" i="1"/>
  <c r="D21" i="1"/>
  <c r="M21" i="1"/>
  <c r="F22" i="1"/>
  <c r="P22" i="1"/>
  <c r="H23" i="1"/>
  <c r="R23" i="1"/>
  <c r="J24" i="1"/>
  <c r="D25" i="1"/>
  <c r="M25" i="1"/>
  <c r="F26" i="1"/>
  <c r="P26" i="1"/>
  <c r="H27" i="1"/>
  <c r="R27" i="1"/>
  <c r="J28" i="1"/>
  <c r="D29" i="1"/>
  <c r="M29" i="1"/>
  <c r="F30" i="1"/>
  <c r="P30" i="1"/>
  <c r="H31" i="1"/>
  <c r="R31" i="1"/>
  <c r="J32" i="1"/>
  <c r="D33" i="1"/>
  <c r="M33" i="1"/>
  <c r="F34" i="1"/>
  <c r="P34" i="1"/>
  <c r="G10" i="1"/>
  <c r="Q10" i="1"/>
  <c r="K12" i="1"/>
  <c r="G14" i="1"/>
  <c r="Q14" i="1"/>
  <c r="K16" i="1"/>
  <c r="K24" i="1"/>
  <c r="G26" i="1"/>
  <c r="Q26" i="1"/>
  <c r="K28" i="1"/>
  <c r="K32" i="1"/>
  <c r="E33" i="1"/>
  <c r="N33" i="1"/>
  <c r="G34" i="1"/>
  <c r="Q34" i="1"/>
  <c r="K8" i="1"/>
  <c r="G18" i="1"/>
  <c r="Q18" i="1"/>
  <c r="K20" i="1"/>
  <c r="G22" i="1"/>
  <c r="Q22" i="1"/>
  <c r="G30" i="1"/>
  <c r="Q30" i="1"/>
  <c r="I31" i="1"/>
  <c r="D8" i="1"/>
  <c r="F9" i="1"/>
  <c r="H10" i="1"/>
  <c r="D12" i="1"/>
  <c r="F13" i="1"/>
  <c r="H14" i="1"/>
  <c r="D16" i="1"/>
  <c r="F17" i="1"/>
  <c r="H18" i="1"/>
  <c r="D20" i="1"/>
  <c r="F21" i="1"/>
  <c r="H22" i="1"/>
  <c r="D24" i="1"/>
  <c r="F25" i="1"/>
  <c r="H26" i="1"/>
  <c r="D28" i="1"/>
  <c r="F29" i="1"/>
  <c r="H30" i="1"/>
  <c r="D32" i="1"/>
  <c r="F33" i="1"/>
  <c r="H34" i="1"/>
</calcChain>
</file>

<file path=xl/sharedStrings.xml><?xml version="1.0" encoding="utf-8"?>
<sst xmlns="http://schemas.openxmlformats.org/spreadsheetml/2006/main" count="5507" uniqueCount="774">
  <si>
    <t>Status by product and episode</t>
  </si>
  <si>
    <t>Every figure is a live formula over the Event stream steps tab, so this updates as the steps tab is filled in. Percentages are of the steps in that row. Status is progress through the work; source change and delta change describe the work itself and were filled in from the code.</t>
  </si>
  <si>
    <t>Status (column G)</t>
  </si>
  <si>
    <t>Source change (column I)</t>
  </si>
  <si>
    <t>Delta change (column K)</t>
  </si>
  <si>
    <t>Product</t>
  </si>
  <si>
    <t>Episode</t>
  </si>
  <si>
    <t>Steps</t>
  </si>
  <si>
    <t>Unchecked</t>
  </si>
  <si>
    <t>Triaged</t>
  </si>
  <si>
    <t>Blocked</t>
  </si>
  <si>
    <t>In progress</t>
  </si>
  <si>
    <t>In review</t>
  </si>
  <si>
    <t>Reconciled</t>
  </si>
  <si>
    <t>Done</t>
  </si>
  <si>
    <t>Not required</t>
  </si>
  <si>
    <t>Already ods</t>
  </si>
  <si>
    <t>Needs re-sourcing</t>
  </si>
  <si>
    <t>Windowed in query</t>
  </si>
  <si>
    <t>Watermark sits upstream</t>
  </si>
  <si>
    <t>Needs a watermark</t>
  </si>
  <si>
    <t>Motor</t>
  </si>
  <si>
    <t>Acquisition</t>
  </si>
  <si>
    <t>Renewal</t>
  </si>
  <si>
    <t>MTA</t>
  </si>
  <si>
    <t>Cancellation</t>
  </si>
  <si>
    <t>Arrears</t>
  </si>
  <si>
    <t>Claims</t>
  </si>
  <si>
    <t>Doc Request</t>
  </si>
  <si>
    <t>All episodes</t>
  </si>
  <si>
    <t>Home</t>
  </si>
  <si>
    <t>Van</t>
  </si>
  <si>
    <t>Travel</t>
  </si>
  <si>
    <t>All products</t>
  </si>
  <si>
    <t>Percentages on each row add to 100%. Steps counts change only if rows are added to or removed from the Event stream steps tab.</t>
  </si>
  <si>
    <t>Step ID</t>
  </si>
  <si>
    <t>Step name</t>
  </si>
  <si>
    <t>Grain</t>
  </si>
  <si>
    <t>Notebook cell</t>
  </si>
  <si>
    <t>Status</t>
  </si>
  <si>
    <t>Notes</t>
  </si>
  <si>
    <t>Source change</t>
  </si>
  <si>
    <t>Reads from</t>
  </si>
  <si>
    <t>Delta change</t>
  </si>
  <si>
    <t>Known blocker</t>
  </si>
  <si>
    <t>A1</t>
  </si>
  <si>
    <t>Quote Initiated</t>
  </si>
  <si>
    <t>Quote</t>
  </si>
  <si>
    <t>dlk</t>
  </si>
  <si>
    <t>A1.E1</t>
  </si>
  <si>
    <t>Service retrieve</t>
  </si>
  <si>
    <t>A0</t>
  </si>
  <si>
    <t>straight into call centre</t>
  </si>
  <si>
    <t>Call</t>
  </si>
  <si>
    <t>A0.F1</t>
  </si>
  <si>
    <t>Call wait time, or fails to make contact</t>
  </si>
  <si>
    <t>A2</t>
  </si>
  <si>
    <t>Customer details complete</t>
  </si>
  <si>
    <t>A2.F1</t>
  </si>
  <si>
    <t>A2.E1</t>
  </si>
  <si>
    <t>This year retrieve (TYR)</t>
  </si>
  <si>
    <t>A3</t>
  </si>
  <si>
    <t>Customer gets a price</t>
  </si>
  <si>
    <t>no build for stg.a3_sl10_qqguids</t>
  </si>
  <si>
    <t>A3.F1</t>
  </si>
  <si>
    <t>No price returned, told to call us</t>
  </si>
  <si>
    <t>A3.E1</t>
  </si>
  <si>
    <t>Outbound sales callback</t>
  </si>
  <si>
    <t>Customer</t>
  </si>
  <si>
    <t>A4a</t>
  </si>
  <si>
    <t>Customer buys ONLINE</t>
  </si>
  <si>
    <t>edw</t>
  </si>
  <si>
    <t>no build for stg.mfq_quote_payments</t>
  </si>
  <si>
    <t>A4b</t>
  </si>
  <si>
    <t>Agent quotes and converts on the CALL</t>
  </si>
  <si>
    <t>Policy</t>
  </si>
  <si>
    <t>A4.F1</t>
  </si>
  <si>
    <t>Web assist: starts online, then calls to complete</t>
  </si>
  <si>
    <t>A5a</t>
  </si>
  <si>
    <t>Payment attempted ONLINE</t>
  </si>
  <si>
    <t>Payment Attempt</t>
  </si>
  <si>
    <t>ods only</t>
  </si>
  <si>
    <t>A5.F1</t>
  </si>
  <si>
    <t>Payment failed</t>
  </si>
  <si>
    <t>A5.1</t>
  </si>
  <si>
    <t>A6</t>
  </si>
  <si>
    <t>Documents requested</t>
  </si>
  <si>
    <t>A6.F1</t>
  </si>
  <si>
    <t>Chases before the customer submits, and documents never submitted</t>
  </si>
  <si>
    <t>A6.B1.F1</t>
  </si>
  <si>
    <t>Documents never submitted, policy at risk. Bites A5a customers hardest</t>
  </si>
  <si>
    <t>A7</t>
  </si>
  <si>
    <t>A7.F1</t>
  </si>
  <si>
    <t>Non-arrival, and time taken to receive</t>
  </si>
  <si>
    <t>A3.B1.1</t>
  </si>
  <si>
    <t>Quote retrieved or iterated</t>
  </si>
  <si>
    <t>A6.B1.1</t>
  </si>
  <si>
    <t>Document request issued</t>
  </si>
  <si>
    <t>A6.B1.2</t>
  </si>
  <si>
    <t>Customer submits documents</t>
  </si>
  <si>
    <t>dlk, edw</t>
  </si>
  <si>
    <t>A6.B1.4</t>
  </si>
  <si>
    <t>Chase, first reminder</t>
  </si>
  <si>
    <t>A6.B1.5</t>
  </si>
  <si>
    <t>A6.B1.3</t>
  </si>
  <si>
    <t>Documents validated</t>
  </si>
  <si>
    <t>A6.B1.O1</t>
  </si>
  <si>
    <t>A6.B1.6</t>
  </si>
  <si>
    <t>Documents received and validated</t>
  </si>
  <si>
    <t>A7.B1</t>
  </si>
  <si>
    <t>Cert and disc dispatch</t>
  </si>
  <si>
    <t>A7.B1.1</t>
  </si>
  <si>
    <t>A7.B1.2</t>
  </si>
  <si>
    <t>A7.B1.3</t>
  </si>
  <si>
    <t>A7.B1.4</t>
  </si>
  <si>
    <t>A7.B1.5</t>
  </si>
  <si>
    <t>R0</t>
  </si>
  <si>
    <t>Pre-renewal notification, 60 days</t>
  </si>
  <si>
    <t>cell is marked --RO</t>
  </si>
  <si>
    <t>R0.F1</t>
  </si>
  <si>
    <t>Not sent - no terms from Insurer</t>
  </si>
  <si>
    <t>R0.B1</t>
  </si>
  <si>
    <t>Renewal held letter</t>
  </si>
  <si>
    <t>R0.F2</t>
  </si>
  <si>
    <t>Declared claims not recorded</t>
  </si>
  <si>
    <t>no build for stg.motorclaims</t>
  </si>
  <si>
    <t>R1a</t>
  </si>
  <si>
    <t>Renewal invitation sent by EMAIL</t>
  </si>
  <si>
    <t>R1b</t>
  </si>
  <si>
    <t>Renewal invitation sent by POST</t>
  </si>
  <si>
    <t>R1.B2</t>
  </si>
  <si>
    <t>Alternative offer sent</t>
  </si>
  <si>
    <t>R1.E1</t>
  </si>
  <si>
    <t>Renewal campaigns: CRM</t>
  </si>
  <si>
    <t>R1.E1.F3</t>
  </si>
  <si>
    <t>Renewal customer in an acquisition campaign audience</t>
  </si>
  <si>
    <t>R2a</t>
  </si>
  <si>
    <t>Customer logs in to portal</t>
  </si>
  <si>
    <t>R2b</t>
  </si>
  <si>
    <t>Customer phones call cente</t>
  </si>
  <si>
    <t>R2.F1</t>
  </si>
  <si>
    <t>Failed login</t>
  </si>
  <si>
    <t>R2.B1.F1</t>
  </si>
  <si>
    <t>New quote does not beat the renewal price, or the quote is abandoned</t>
  </si>
  <si>
    <t>R2.E1</t>
  </si>
  <si>
    <t>In-flight price improvement: promo code, or the agent reduces the fee</t>
  </si>
  <si>
    <t>R3a</t>
  </si>
  <si>
    <t>Customer renews ONLINE</t>
  </si>
  <si>
    <t>R3b</t>
  </si>
  <si>
    <t>Customer renews on an INBOUND call</t>
  </si>
  <si>
    <t>R3c</t>
  </si>
  <si>
    <t>Customer renews on an OUTBOUND call</t>
  </si>
  <si>
    <t>R3d</t>
  </si>
  <si>
    <t>Customer renews on CHAT</t>
  </si>
  <si>
    <t>R3b.F1</t>
  </si>
  <si>
    <t>R3.O1</t>
  </si>
  <si>
    <t>Policy lapsed</t>
  </si>
  <si>
    <t>R4</t>
  </si>
  <si>
    <t>Payment taken</t>
  </si>
  <si>
    <t>R4.F1</t>
  </si>
  <si>
    <t>R4a</t>
  </si>
  <si>
    <t>Pay in full</t>
  </si>
  <si>
    <t>R4c</t>
  </si>
  <si>
    <t>New monthly agreement</t>
  </si>
  <si>
    <t>R5</t>
  </si>
  <si>
    <t>Renewal processed, policy continued</t>
  </si>
  <si>
    <t>R6</t>
  </si>
  <si>
    <t>Cert and disc sent</t>
  </si>
  <si>
    <t>R2.B1.1</t>
  </si>
  <si>
    <t>MFQ quote started from the renewal price</t>
  </si>
  <si>
    <t>R2.B1.2</t>
  </si>
  <si>
    <t>Details amended</t>
  </si>
  <si>
    <t>no build for stg.mfq_quotes</t>
  </si>
  <si>
    <t>R2.B1.3</t>
  </si>
  <si>
    <t>New price returned</t>
  </si>
  <si>
    <t>R2.B1.3.F1</t>
  </si>
  <si>
    <t>No price returned, or the quote is abandoned</t>
  </si>
  <si>
    <t>R2.B1.4.F1</t>
  </si>
  <si>
    <t>New price is worse than the renewal offer</t>
  </si>
  <si>
    <t>R2.B1.O1</t>
  </si>
  <si>
    <t>Renews on the renewal offer</t>
  </si>
  <si>
    <t>R2.B1.O2</t>
  </si>
  <si>
    <t>Renews on a new MFQ price</t>
  </si>
  <si>
    <t>R2.B1.O3</t>
  </si>
  <si>
    <t>Buys elsewhere, no renewal</t>
  </si>
  <si>
    <t>R3.B1</t>
  </si>
  <si>
    <t>This year lapsed</t>
  </si>
  <si>
    <t>R3.B1.1</t>
  </si>
  <si>
    <t>Renewal date passes with no renewal</t>
  </si>
  <si>
    <t>R3.B1.1.F1</t>
  </si>
  <si>
    <t>CRM bounces</t>
  </si>
  <si>
    <t>R3.B1.2</t>
  </si>
  <si>
    <t>Lapse CRM sequence runs</t>
  </si>
  <si>
    <t>R3.B1.2.F1</t>
  </si>
  <si>
    <t>Unreachable on the lapse sequence</t>
  </si>
  <si>
    <t>R3.B1.3</t>
  </si>
  <si>
    <t>Online renewal window closes at day 7</t>
  </si>
  <si>
    <t>R3.B1.4</t>
  </si>
  <si>
    <t>Phone renewal window closes at day 30</t>
  </si>
  <si>
    <t>R3.B1.O1</t>
  </si>
  <si>
    <t>Renewed inside the window</t>
  </si>
  <si>
    <t>R3.B1.O3</t>
  </si>
  <si>
    <t>Lost</t>
  </si>
  <si>
    <t>R6.F1</t>
  </si>
  <si>
    <t>R4.B2.F1</t>
  </si>
  <si>
    <t>R4.B2.1</t>
  </si>
  <si>
    <t>R4.B2.2</t>
  </si>
  <si>
    <t>R4.B2.4</t>
  </si>
  <si>
    <t>R4.B2.5</t>
  </si>
  <si>
    <t>Chase, escalation</t>
  </si>
  <si>
    <t>R4.B2.3</t>
  </si>
  <si>
    <t>R4.B2.O1</t>
  </si>
  <si>
    <t>Cancellation, non-receipt</t>
  </si>
  <si>
    <t>R4.B2.6</t>
  </si>
  <si>
    <t>R6.B1</t>
  </si>
  <si>
    <t>Cert and disc dispatched</t>
  </si>
  <si>
    <t>R6.B1.1</t>
  </si>
  <si>
    <t>R6.B1.2</t>
  </si>
  <si>
    <t>R6.B1.5</t>
  </si>
  <si>
    <t>Replacement requested</t>
  </si>
  <si>
    <t>M1</t>
  </si>
  <si>
    <t>Customer calls Chill with a change request</t>
  </si>
  <si>
    <t>no build for stg.vm0_van_phone_numbers</t>
  </si>
  <si>
    <t>M1.F1</t>
  </si>
  <si>
    <t>M3</t>
  </si>
  <si>
    <t>Customer accepts</t>
  </si>
  <si>
    <t>M4</t>
  </si>
  <si>
    <t>Money due on the change</t>
  </si>
  <si>
    <t>M4a</t>
  </si>
  <si>
    <t>Paid now</t>
  </si>
  <si>
    <t>M6</t>
  </si>
  <si>
    <t>M.V1</t>
  </si>
  <si>
    <t>Vehicle change</t>
  </si>
  <si>
    <t>M.V2</t>
  </si>
  <si>
    <t>Named driver add or remove</t>
  </si>
  <si>
    <t>M.V3</t>
  </si>
  <si>
    <t>Licence update</t>
  </si>
  <si>
    <t>M.V4</t>
  </si>
  <si>
    <t>Address change</t>
  </si>
  <si>
    <t>M3.B1.1</t>
  </si>
  <si>
    <t>M3.B1.2</t>
  </si>
  <si>
    <t>M3.B1.4</t>
  </si>
  <si>
    <t>M3.B1.5</t>
  </si>
  <si>
    <t>M3.B1.3</t>
  </si>
  <si>
    <t>M3.B1.6</t>
  </si>
  <si>
    <t>C1a</t>
  </si>
  <si>
    <t>Customer asks to cancel</t>
  </si>
  <si>
    <t>C1a.F1</t>
  </si>
  <si>
    <t>C2</t>
  </si>
  <si>
    <t>Document chase, reminder</t>
  </si>
  <si>
    <t>C3</t>
  </si>
  <si>
    <t>Document chase, escalation</t>
  </si>
  <si>
    <t>C4</t>
  </si>
  <si>
    <t>Final notice</t>
  </si>
  <si>
    <t>C5</t>
  </si>
  <si>
    <t>Cancellation processed</t>
  </si>
  <si>
    <t>C6</t>
  </si>
  <si>
    <t>Cancellation confirmation sent</t>
  </si>
  <si>
    <t>ARR.1</t>
  </si>
  <si>
    <t>Missed payment detected</t>
  </si>
  <si>
    <t>tmp</t>
  </si>
  <si>
    <t>ARR.2</t>
  </si>
  <si>
    <t>Arrears chase</t>
  </si>
  <si>
    <t>ARR.O1</t>
  </si>
  <si>
    <t>Arrears cleared</t>
  </si>
  <si>
    <t>ARR.3</t>
  </si>
  <si>
    <t>Loan defaults, arrears not cleared</t>
  </si>
  <si>
    <t>ARR.O2</t>
  </si>
  <si>
    <t>Escalation to forced cancellation</t>
  </si>
  <si>
    <t>CL1a</t>
  </si>
  <si>
    <t>Motor claim reported</t>
  </si>
  <si>
    <t>dlk, edw, pii</t>
  </si>
  <si>
    <t>D1</t>
  </si>
  <si>
    <t>Customer rings and asks for a document</t>
  </si>
  <si>
    <t>dlk, pii</t>
  </si>
  <si>
    <t>D1.F1</t>
  </si>
  <si>
    <t>D2</t>
  </si>
  <si>
    <t>Agent locates and sends the document</t>
  </si>
  <si>
    <t>D3.F1</t>
  </si>
  <si>
    <t>Non-arrival, and the customer rings again</t>
  </si>
  <si>
    <t>D3.F2</t>
  </si>
  <si>
    <t>The same document downloaded again and again</t>
  </si>
  <si>
    <t>D.V1</t>
  </si>
  <si>
    <t>Replacement cert and disc</t>
  </si>
  <si>
    <t>HA1</t>
  </si>
  <si>
    <t>Quote initiated ONLINE</t>
  </si>
  <si>
    <t>HA1.E1</t>
  </si>
  <si>
    <t>HA1.E2</t>
  </si>
  <si>
    <t>HA1.F1</t>
  </si>
  <si>
    <t>Outbound campaigns to quotes that never got a price</t>
  </si>
  <si>
    <t>HA0</t>
  </si>
  <si>
    <t>Straight into the CALL CENTRE</t>
  </si>
  <si>
    <t>HA0.F1</t>
  </si>
  <si>
    <t>HA2</t>
  </si>
  <si>
    <t>Quote progressed</t>
  </si>
  <si>
    <t>HA2.F1</t>
  </si>
  <si>
    <t>Drop off before completing the details</t>
  </si>
  <si>
    <t>HA2.E1</t>
  </si>
  <si>
    <t>TYR Campaign</t>
  </si>
  <si>
    <t>HA3</t>
  </si>
  <si>
    <t>HA3.F1</t>
  </si>
  <si>
    <t>HA4a</t>
  </si>
  <si>
    <t>HA4b</t>
  </si>
  <si>
    <t>HA4.F1</t>
  </si>
  <si>
    <t>HA5</t>
  </si>
  <si>
    <t>Payment successful</t>
  </si>
  <si>
    <t>HA5.F1</t>
  </si>
  <si>
    <t>Payment attempted with friction</t>
  </si>
  <si>
    <t>HA5.1</t>
  </si>
  <si>
    <t>Terms of business sent</t>
  </si>
  <si>
    <t>HA6</t>
  </si>
  <si>
    <t>HA6.F1</t>
  </si>
  <si>
    <t>Number of chases before the customer submits</t>
  </si>
  <si>
    <t>HA7</t>
  </si>
  <si>
    <t>Policy documents dispatched</t>
  </si>
  <si>
    <t>HA7.B1.1</t>
  </si>
  <si>
    <t>HA7.B1.2</t>
  </si>
  <si>
    <t>Document pack dispatched</t>
  </si>
  <si>
    <t>HA6.B1.1</t>
  </si>
  <si>
    <t>HA6.B1.2</t>
  </si>
  <si>
    <t>HA6.B1.4</t>
  </si>
  <si>
    <t>HA6.B1.5</t>
  </si>
  <si>
    <t>HA6.B1.3</t>
  </si>
  <si>
    <t>HA6.B1.O1</t>
  </si>
  <si>
    <t>HA6.B1.6</t>
  </si>
  <si>
    <t>HA7.B1.3</t>
  </si>
  <si>
    <t>Customer receipt, implicit</t>
  </si>
  <si>
    <t>HA7.B1.4</t>
  </si>
  <si>
    <t>Non-arrival chase, inbound</t>
  </si>
  <si>
    <t>HA7.B1.5</t>
  </si>
  <si>
    <t>HR0</t>
  </si>
  <si>
    <t>Renewal window opens at T-40</t>
  </si>
  <si>
    <t>HR0.F1</t>
  </si>
  <si>
    <t>HR0.F2</t>
  </si>
  <si>
    <t>Renewal held letter issued</t>
  </si>
  <si>
    <t>HR0.F3</t>
  </si>
  <si>
    <t>No terms from the insurer, so no offer is made</t>
  </si>
  <si>
    <t>HR1a</t>
  </si>
  <si>
    <t>HR1b</t>
  </si>
  <si>
    <t>HR2a</t>
  </si>
  <si>
    <t>HR2b</t>
  </si>
  <si>
    <t>Customer phones call center</t>
  </si>
  <si>
    <t>HR2.F1</t>
  </si>
  <si>
    <t>Customer does not accept the price</t>
  </si>
  <si>
    <t>HR2.B1.F1</t>
  </si>
  <si>
    <t>The customer shops the renewal</t>
  </si>
  <si>
    <t>HR1.E1.F1</t>
  </si>
  <si>
    <t>Programme fails and the renewal date is missed</t>
  </si>
  <si>
    <t>written by 2 insert statements, in cells 206, 207; cell is marked --HR1.E1</t>
  </si>
  <si>
    <t>HR3a</t>
  </si>
  <si>
    <t>HR3b</t>
  </si>
  <si>
    <t>HR3b.F1</t>
  </si>
  <si>
    <t>HR3.O1</t>
  </si>
  <si>
    <t>HR4</t>
  </si>
  <si>
    <t>HR4.B2.F1</t>
  </si>
  <si>
    <t>HR4a</t>
  </si>
  <si>
    <t>HR4c</t>
  </si>
  <si>
    <t>HR5</t>
  </si>
  <si>
    <t>HR6</t>
  </si>
  <si>
    <t>Renewal documents dispatched</t>
  </si>
  <si>
    <t>HR6.F1</t>
  </si>
  <si>
    <t>The suitability letter barely goes out</t>
  </si>
  <si>
    <t>HR2.B1.1</t>
  </si>
  <si>
    <t>Re-quote started from the renewal price</t>
  </si>
  <si>
    <t>HR2.B1.2</t>
  </si>
  <si>
    <t>HR2.B1.2.F1</t>
  </si>
  <si>
    <t>HR2.B1.3.F1</t>
  </si>
  <si>
    <t>HR2.B1.O1</t>
  </si>
  <si>
    <t>HR2.B1.O2</t>
  </si>
  <si>
    <t>Renews on a new price</t>
  </si>
  <si>
    <t>HR2.B1.O3</t>
  </si>
  <si>
    <t>HR3.B1.1</t>
  </si>
  <si>
    <t>HR3.B1.1.F1</t>
  </si>
  <si>
    <t>cell is marked --R3.B1.1.F1</t>
  </si>
  <si>
    <t>HR3.B1.2</t>
  </si>
  <si>
    <t>HR3.B1.2.F1</t>
  </si>
  <si>
    <t>HR3.B1.O1</t>
  </si>
  <si>
    <t>HR3.B1.O3</t>
  </si>
  <si>
    <t>HR4.B2.1</t>
  </si>
  <si>
    <t>HR4.B2.2</t>
  </si>
  <si>
    <t>HR4.B2.4</t>
  </si>
  <si>
    <t>HR4.B2.5</t>
  </si>
  <si>
    <t>HR4.B2.3</t>
  </si>
  <si>
    <t>HR4.B2.O1</t>
  </si>
  <si>
    <t>HR4.B2.6</t>
  </si>
  <si>
    <t>HR6.B1.1</t>
  </si>
  <si>
    <t>HR6.B1.2</t>
  </si>
  <si>
    <t>HR6.B1.5</t>
  </si>
  <si>
    <t>HM1</t>
  </si>
  <si>
    <t>HM1.F1</t>
  </si>
  <si>
    <t>HM2.O1</t>
  </si>
  <si>
    <t>Cancellation, declined or not proceeded with</t>
  </si>
  <si>
    <t>HM3</t>
  </si>
  <si>
    <t>HM4.B1.F1</t>
  </si>
  <si>
    <t>HM4</t>
  </si>
  <si>
    <t>HM4a</t>
  </si>
  <si>
    <t>HM4c</t>
  </si>
  <si>
    <t>No money moves</t>
  </si>
  <si>
    <t>HM6</t>
  </si>
  <si>
    <t>Policy documents reissued</t>
  </si>
  <si>
    <t>HM4.B1.1</t>
  </si>
  <si>
    <t>HM4.B1.2</t>
  </si>
  <si>
    <t>HM4.B1.4</t>
  </si>
  <si>
    <t>HM4.B1.5</t>
  </si>
  <si>
    <t>HM4.B1.3</t>
  </si>
  <si>
    <t>HM4.B1.O1</t>
  </si>
  <si>
    <t>HM4.B1.6</t>
  </si>
  <si>
    <t>HM6.B1.1</t>
  </si>
  <si>
    <t>HM6.B1.2</t>
  </si>
  <si>
    <t>HC1a</t>
  </si>
  <si>
    <t>HC1a.F1</t>
  </si>
  <si>
    <t>No retention or save attempt anywhere</t>
  </si>
  <si>
    <t>HC2</t>
  </si>
  <si>
    <t>HC3</t>
  </si>
  <si>
    <t>HC4</t>
  </si>
  <si>
    <t>HC5</t>
  </si>
  <si>
    <t>HC6</t>
  </si>
  <si>
    <t>HARR.1</t>
  </si>
  <si>
    <t>HARR.2</t>
  </si>
  <si>
    <t>HARR.O1</t>
  </si>
  <si>
    <t>HARR.3</t>
  </si>
  <si>
    <t>HARR.O2</t>
  </si>
  <si>
    <t>HCL1a</t>
  </si>
  <si>
    <t>Home claim reported</t>
  </si>
  <si>
    <t>HCL1b</t>
  </si>
  <si>
    <t>Escape of water or emergency assistance</t>
  </si>
  <si>
    <t>HCL1c</t>
  </si>
  <si>
    <t>Storm, flood or weather claim</t>
  </si>
  <si>
    <t>HCL.O2</t>
  </si>
  <si>
    <t>Policy ended</t>
  </si>
  <si>
    <t>HD1</t>
  </si>
  <si>
    <t>HD1.F1</t>
  </si>
  <si>
    <t>HD2</t>
  </si>
  <si>
    <t>HD3.F1</t>
  </si>
  <si>
    <t>HD3.F2</t>
  </si>
  <si>
    <t>VA1</t>
  </si>
  <si>
    <t>Email</t>
  </si>
  <si>
    <t>VA0.F1</t>
  </si>
  <si>
    <t>VA0</t>
  </si>
  <si>
    <t>VA5</t>
  </si>
  <si>
    <t>VA6</t>
  </si>
  <si>
    <t>VA6.B1.F1</t>
  </si>
  <si>
    <t>Documents never submitted, policy at risk of cancellation</t>
  </si>
  <si>
    <t>VA7</t>
  </si>
  <si>
    <t>VA5.B1.4</t>
  </si>
  <si>
    <t>Chase, inconsistency resolution</t>
  </si>
  <si>
    <t>VA6.B1.1</t>
  </si>
  <si>
    <t>VA6.B1.2</t>
  </si>
  <si>
    <t>VA6.B1.4</t>
  </si>
  <si>
    <t>VA6.B1.5</t>
  </si>
  <si>
    <t>VA6.B1.3</t>
  </si>
  <si>
    <t>VA6.B1.O1</t>
  </si>
  <si>
    <t>VA6.B1.6</t>
  </si>
  <si>
    <t>VA7.B1.1</t>
  </si>
  <si>
    <t>VA7.B1.2</t>
  </si>
  <si>
    <t>VA7.B1.3</t>
  </si>
  <si>
    <t>VA7.B1.5</t>
  </si>
  <si>
    <t>VR1a</t>
  </si>
  <si>
    <t>VR1b</t>
  </si>
  <si>
    <t>VR1.E1</t>
  </si>
  <si>
    <t>User</t>
  </si>
  <si>
    <t>VR2a</t>
  </si>
  <si>
    <t>VR2b</t>
  </si>
  <si>
    <t>VR3a</t>
  </si>
  <si>
    <t>VR3b</t>
  </si>
  <si>
    <t>VR3b.F1</t>
  </si>
  <si>
    <t>VR3.O1</t>
  </si>
  <si>
    <t>VR4</t>
  </si>
  <si>
    <t>VR4.B2</t>
  </si>
  <si>
    <t>VR4.B2.F1</t>
  </si>
  <si>
    <t>VR5</t>
  </si>
  <si>
    <t>VR3.B1.1</t>
  </si>
  <si>
    <t>VR3.B1.1.F1</t>
  </si>
  <si>
    <t>VR3.B1.2</t>
  </si>
  <si>
    <t>VR3.B1.2.F1</t>
  </si>
  <si>
    <t>VR3.B1.O1</t>
  </si>
  <si>
    <t>VR3.B1.O3</t>
  </si>
  <si>
    <t>VR4.B2.1</t>
  </si>
  <si>
    <t>VR4.B2.2</t>
  </si>
  <si>
    <t>VR4.B2.4</t>
  </si>
  <si>
    <t>VR4.B2.5</t>
  </si>
  <si>
    <t>VR4.B2.3</t>
  </si>
  <si>
    <t>VR4.B2.O1</t>
  </si>
  <si>
    <t>VR4.B2.6</t>
  </si>
  <si>
    <t>VR6.B1.1</t>
  </si>
  <si>
    <t>VM1</t>
  </si>
  <si>
    <t>VM1.F1</t>
  </si>
  <si>
    <t>VM2.O1</t>
  </si>
  <si>
    <t>VM3</t>
  </si>
  <si>
    <t>VM3.B1.F1</t>
  </si>
  <si>
    <t>VM4c</t>
  </si>
  <si>
    <t>Return premium</t>
  </si>
  <si>
    <t>VM6</t>
  </si>
  <si>
    <t>VM3.B1.1</t>
  </si>
  <si>
    <t>VM3.B1.2</t>
  </si>
  <si>
    <t>VM3.B1.4</t>
  </si>
  <si>
    <t>VM3.B1.3</t>
  </si>
  <si>
    <t>VM3.B1.O1</t>
  </si>
  <si>
    <t>VM3.B1.6</t>
  </si>
  <si>
    <t>VM3.B1.5</t>
  </si>
  <si>
    <t>VM6.B1.1</t>
  </si>
  <si>
    <t>VM6.B1.2</t>
  </si>
  <si>
    <t>VC1a</t>
  </si>
  <si>
    <t>VC2</t>
  </si>
  <si>
    <t>VC3</t>
  </si>
  <si>
    <t>VC4</t>
  </si>
  <si>
    <t>VC5</t>
  </si>
  <si>
    <t>VC6</t>
  </si>
  <si>
    <t>VARR.1</t>
  </si>
  <si>
    <t>VARR.2</t>
  </si>
  <si>
    <t>VARR.O1</t>
  </si>
  <si>
    <t>VARR.3</t>
  </si>
  <si>
    <t>VARR.4</t>
  </si>
  <si>
    <t>Default chase and final notice</t>
  </si>
  <si>
    <t>VARR.O2</t>
  </si>
  <si>
    <t>VCL1a</t>
  </si>
  <si>
    <t>Van claim reported</t>
  </si>
  <si>
    <t>VD1</t>
  </si>
  <si>
    <t>VD1.F1</t>
  </si>
  <si>
    <t>VD2</t>
  </si>
  <si>
    <t>VD3.F1</t>
  </si>
  <si>
    <t>VD3.F2</t>
  </si>
  <si>
    <t>VD.V1</t>
  </si>
  <si>
    <t>TA1</t>
  </si>
  <si>
    <t>Travel quote initiated</t>
  </si>
  <si>
    <t>TA1p</t>
  </si>
  <si>
    <t>Travel Quote Completed</t>
  </si>
  <si>
    <t>TA5</t>
  </si>
  <si>
    <t>Purchase confirmed by next-day CSV</t>
  </si>
  <si>
    <t>TA3.B1.2</t>
  </si>
  <si>
    <t>Purchase</t>
  </si>
  <si>
    <t>TR1.E1</t>
  </si>
  <si>
    <t>Travel renewal date campaign</t>
  </si>
  <si>
    <t>TR4</t>
  </si>
  <si>
    <t>Renewal processed</t>
  </si>
  <si>
    <t>TR.O1</t>
  </si>
  <si>
    <t>Policy continues, re-purchased</t>
  </si>
  <si>
    <t>Source tables to migrate</t>
  </si>
  <si>
    <t>Every table script 04 reads that is not already in ods, grouped by schema. Steps affected counts how many of the 330 event steps depend on the table, following the staging tables the script builds itself, so a table read only by a staging build still shows the steps behind it. The tables script 04 builds are listed too: each one is a decision about whether it becomes an ods object or disappears once its own sources move.</t>
  </si>
  <si>
    <t>Schema</t>
  </si>
  <si>
    <t>Tables</t>
  </si>
  <si>
    <t>Needs triage</t>
  </si>
  <si>
    <t>Already available in ods</t>
  </si>
  <si>
    <t>Migrated</t>
  </si>
  <si>
    <t>pii</t>
  </si>
  <si>
    <t>stg</t>
  </si>
  <si>
    <t>All schemas</t>
  </si>
  <si>
    <t>Table</t>
  </si>
  <si>
    <t>Kind</t>
  </si>
  <si>
    <t>Steps affected</t>
  </si>
  <si>
    <t>Read directly by</t>
  </si>
  <si>
    <t>Built in cell</t>
  </si>
  <si>
    <t>Target in ods</t>
  </si>
  <si>
    <t>tbl_fact_policy_renewals</t>
  </si>
  <si>
    <t>External source</t>
  </si>
  <si>
    <t>tbl_fact_Policy_Mvt</t>
  </si>
  <si>
    <t>read only by stg.Home_PhoneNumbers, stg.JulyPolicyState, stg.Motor_PhoneNumbers and 1 more</t>
  </si>
  <si>
    <t>tbl_fact_policy_sales</t>
  </si>
  <si>
    <t>read only by stg.GlobalPoliciesSold, stg.VanSales</t>
  </si>
  <si>
    <t>tbl_ref_Mapping_BAR_Premium_Type</t>
  </si>
  <si>
    <t>EXP_MyChill_Chase_Daily_Snapshot_MotorVan</t>
  </si>
  <si>
    <t>exp_mychill_chase_daily_snapshot_home</t>
  </si>
  <si>
    <t>tbl_fact_policy_mtc</t>
  </si>
  <si>
    <t>tbl_fact_mfq</t>
  </si>
  <si>
    <t>read only by stg.R2B1_4_F1_MFQPrices</t>
  </si>
  <si>
    <t>tbl_fact_TravelAllQuotesSales</t>
  </si>
  <si>
    <t>genesys_session_summary</t>
  </si>
  <si>
    <t>RBSDATA2_NewArchive</t>
  </si>
  <si>
    <t>MyChillWorkflow_DocumentStatus</t>
  </si>
  <si>
    <t>EXT_XtremePushResults</t>
  </si>
  <si>
    <t>mfq_quotequery</t>
  </si>
  <si>
    <t>read only by stg.A0_mfq_derived_data, stg.A1_MotorAcquisitionQuoteInitiated, stg.MFQInsurersQuoted</t>
  </si>
  <si>
    <t>HFQ_QuoteDetails_Snapshot_v2</t>
  </si>
  <si>
    <t>read only by stg.HA1_HFQ_Quotes, stg.HFQ_Quotes</t>
  </si>
  <si>
    <t>EXT_XtremePushResults_Policy</t>
  </si>
  <si>
    <t>MyChill_NewUploadDocumentEvents</t>
  </si>
  <si>
    <t>HFQ_Response_Quotes</t>
  </si>
  <si>
    <t>AppliedRenewals_PaymentSuccess</t>
  </si>
  <si>
    <t>MFQ_QuoteResponses</t>
  </si>
  <si>
    <t>read only by stg.MFQInsurersQuoted</t>
  </si>
  <si>
    <t>MFQ_QuoteSummary</t>
  </si>
  <si>
    <t>EXT_Home_QS_ClaimDetails</t>
  </si>
  <si>
    <t>ext_home_qs_policydetails</t>
  </si>
  <si>
    <t>EXT_Travel_policy</t>
  </si>
  <si>
    <t>EXT_Travel_Quotes</t>
  </si>
  <si>
    <t>HFQ_PaymentRequest_Failed</t>
  </si>
  <si>
    <t>read only by stg.HFQ_Payments</t>
  </si>
  <si>
    <t>HFQ_PaymentRequest_Request</t>
  </si>
  <si>
    <t>HFQ_PaymentRequest_Response</t>
  </si>
  <si>
    <t>HFQ_PaymentResponse_Response</t>
  </si>
  <si>
    <t>appliedrenewals_successfulloginevent</t>
  </si>
  <si>
    <t>rbsdata2_policy_physical</t>
  </si>
  <si>
    <t>read only by stg.HR3B1_LapsedThisYearPolicy, stg.R3B1_LapsedThisYearPolicy</t>
  </si>
  <si>
    <t>appliedrenewals_failedloginevent</t>
  </si>
  <si>
    <t>AppliedRenewals_PaymentFailedEvent</t>
  </si>
  <si>
    <t>MFQ_MON_Session</t>
  </si>
  <si>
    <t>vanquotedetails</t>
  </si>
  <si>
    <t>customer_data_assembled</t>
  </si>
  <si>
    <t>read only by stg.DocRequestClientCodes, stg.Home_PhoneNumbers, stg.Motor_PhoneNumbers and 1 more</t>
  </si>
  <si>
    <t>CurrentPolicy</t>
  </si>
  <si>
    <t>VM0_van_phone_numbers</t>
  </si>
  <si>
    <t>Staging table, no build anywhere</t>
  </si>
  <si>
    <t>no build anywhere in the repo or the Fabric extracts</t>
  </si>
  <si>
    <t>MFQ_Quote_Payments</t>
  </si>
  <si>
    <t>A3_SL10_QQGUIDS</t>
  </si>
  <si>
    <t>MFQ_quotes</t>
  </si>
  <si>
    <t>motorclaims</t>
  </si>
  <si>
    <t>Step to source dependencies</t>
  </si>
  <si>
    <t>One row per route from a step to a source table, ods included. A step that reaches the same source by two routes has two rows. Intermediary lists the tables script 04 builds along the way, source first, so the last name is what the step reads. Blank means the step reads the source itself. 812 routes, covering 330 steps and 46 sources, of which 174 routes are already on ods.</t>
  </si>
  <si>
    <t>Step</t>
  </si>
  <si>
    <t>Source table</t>
  </si>
  <si>
    <t>Intermediary</t>
  </si>
  <si>
    <t>dlk.mfq_quotequery</t>
  </si>
  <si>
    <t>stg.A1_MotorAcquisitionQuoteInitiated</t>
  </si>
  <si>
    <t>dlk.genesys_session_summary</t>
  </si>
  <si>
    <t>stg.A0_genesys_derived_data &gt; stg.A0_genesys_derived_data_filtered &gt; stg.A0_MFQ_genesys_link</t>
  </si>
  <si>
    <t>stg.A0_mfq_derived_data &gt; stg.A0_MFQ_genesys_link</t>
  </si>
  <si>
    <t>stg.A0_genesys_derived_data &gt; stg.A0F1_genesys_inbound_call_duration_summary</t>
  </si>
  <si>
    <t>dlk.EXT_XtremePushResults</t>
  </si>
  <si>
    <t>dlk.MFQ_MON_Session</t>
  </si>
  <si>
    <t>stg.A1_MotorAcquisitionQuoteInitiated &gt; stg.MFQInsurersQuoted</t>
  </si>
  <si>
    <t>stg.MFQInsurersQuoted</t>
  </si>
  <si>
    <t>dlk.MFQ_QuoteResponses</t>
  </si>
  <si>
    <t>dlk.MFQ_QuoteSummary</t>
  </si>
  <si>
    <t>stg.A3_SL10_QQGUIDS</t>
  </si>
  <si>
    <t>stg.A0_genesys_derived_data</t>
  </si>
  <si>
    <t>edw.tbl_fact_policy_sales</t>
  </si>
  <si>
    <t>stg.GlobalPoliciesSold</t>
  </si>
  <si>
    <t>stg.MFQ_Quote_Payments</t>
  </si>
  <si>
    <t>edw.EXP_MyChill_Chase_Daily_Snapshot_MotorVan</t>
  </si>
  <si>
    <t>ods.EventStream</t>
  </si>
  <si>
    <t>dlk.MyChill_NewUploadDocumentEvents</t>
  </si>
  <si>
    <t>dlk.MyChillWorkflow_DocumentStatus</t>
  </si>
  <si>
    <t>edw.tbl_fact_policy_renewals</t>
  </si>
  <si>
    <t>stg.R0_MotorPoliciesEligibleForRenewals</t>
  </si>
  <si>
    <t>stg.motorclaims</t>
  </si>
  <si>
    <t>stg.R0_MotorPoliciesEligibleForRenewals &gt; stg.R1_Motor_Renewals_EmailOffered</t>
  </si>
  <si>
    <t>stg.R1_Motor_Renewals_EmailOffered</t>
  </si>
  <si>
    <t>stg.R0_MotorPoliciesEligibleForRenewals &gt; stg.R1_Motor_Renewals_PostOffered</t>
  </si>
  <si>
    <t>stg.R1_Motor_Renewals_PostOffered</t>
  </si>
  <si>
    <t>ods.scvcampaignhistory</t>
  </si>
  <si>
    <t>dlk.EXT_XtremePushResults_Policy</t>
  </si>
  <si>
    <t>dlk.appliedrenewals_successfulloginevent</t>
  </si>
  <si>
    <t>stg.R0_genesys_derived_data</t>
  </si>
  <si>
    <t>dlk.appliedrenewals_failedloginevent</t>
  </si>
  <si>
    <t>stg.R0_MotorPoliciesEligibleForRenewals &gt; stg.RenewalScvCustomerKeys &gt; stg.RenewalsDoingMFQ</t>
  </si>
  <si>
    <t>ods.MFQSCVLink</t>
  </si>
  <si>
    <t>stg.RenewalsDoingMFQ</t>
  </si>
  <si>
    <t>ods.scv_customer_key</t>
  </si>
  <si>
    <t>stg.RenewalScvCustomerKeys &gt; stg.RenewalsDoingMFQ</t>
  </si>
  <si>
    <t>dlk.AppliedRenewals_PaymentSuccess</t>
  </si>
  <si>
    <t>stg.MotorRenewalsOnline</t>
  </si>
  <si>
    <t>stg.R0_MotorPoliciesEligibleForRenewals &gt; stg.MotorRenewalsOnline</t>
  </si>
  <si>
    <t>stg.R0_MotorPoliciesEligibleForRenewals &gt; stg.RenewalScvCustomerKeys &gt; stg.RenewalsDoingMFQ &gt; stg.MotorRenewalsOnline</t>
  </si>
  <si>
    <t>stg.RenewalsDoingMFQ &gt; stg.MotorRenewalsOnline</t>
  </si>
  <si>
    <t>stg.RenewalScvCustomerKeys &gt; stg.RenewalsDoingMFQ &gt; stg.MotorRenewalsOnline</t>
  </si>
  <si>
    <t>dlk.RBSDATA2_NewArchive</t>
  </si>
  <si>
    <t>edw.tbl_ref_Mapping_BAR_Premium_Type</t>
  </si>
  <si>
    <t>stg.R0_genesys_derived_data &gt; stg.R3bF1_genesys_inbound_call_duration_summary</t>
  </si>
  <si>
    <t>dlk.rbsdata2_policy_physical</t>
  </si>
  <si>
    <t>stg.R3B1_LapsedThisYearPolicy</t>
  </si>
  <si>
    <t>stg.R0_MotorPoliciesEligibleForRenewals &gt; stg.R3B1_LapsedThisYearPolicy</t>
  </si>
  <si>
    <t>dlk.AppliedRenewals_PaymentFailedEvent</t>
  </si>
  <si>
    <t>stg.R0_MotorPoliciesEligibleForRenewals &gt; stg.R1_Motor_Renewals_EmailOffered &gt; stg.R2B1_1_Base</t>
  </si>
  <si>
    <t>stg.R0_MotorPoliciesEligibleForRenewals &gt; stg.R2B1_1_Base</t>
  </si>
  <si>
    <t>stg.R0_MotorPoliciesEligibleForRenewals &gt; stg.RenewalScvCustomerKeys &gt; stg.RenewalsDoingMFQ &gt; stg.R2B1_1_Base</t>
  </si>
  <si>
    <t>stg.R1_Motor_Renewals_EmailOffered &gt; stg.R2B1_1_Base</t>
  </si>
  <si>
    <t>stg.RenewalsDoingMFQ &gt; stg.R2B1_1_Base</t>
  </si>
  <si>
    <t>stg.RenewalScvCustomerKeys &gt; stg.RenewalsDoingMFQ &gt; stg.R2B1_1_Base</t>
  </si>
  <si>
    <t>stg.MFQ_quotes</t>
  </si>
  <si>
    <t>stg.A1_MotorAcquisitionQuoteInitiated &gt; stg.MFQInsurersQuoted &gt; stg.R2B1_3_base</t>
  </si>
  <si>
    <t>stg.MFQInsurersQuoted &gt; stg.R2B1_3_base</t>
  </si>
  <si>
    <t>stg.R0_MotorPoliciesEligibleForRenewals &gt; stg.R1_Motor_Renewals_EmailOffered &gt; stg.R2B1_1_Base &gt; stg.R2B1_3_base</t>
  </si>
  <si>
    <t>stg.R0_MotorPoliciesEligibleForRenewals &gt; stg.R2B1_1_Base &gt; stg.R2B1_3_base</t>
  </si>
  <si>
    <t>stg.R0_MotorPoliciesEligibleForRenewals &gt; stg.RenewalScvCustomerKeys &gt; stg.RenewalsDoingMFQ &gt; stg.R2B1_1_Base &gt; stg.R2B1_3_base</t>
  </si>
  <si>
    <t>stg.R1_Motor_Renewals_EmailOffered &gt; stg.R2B1_1_Base &gt; stg.R2B1_3_base</t>
  </si>
  <si>
    <t>stg.RenewalsDoingMFQ &gt; stg.R2B1_1_Base &gt; stg.R2B1_3_base</t>
  </si>
  <si>
    <t>stg.RenewalScvCustomerKeys &gt; stg.RenewalsDoingMFQ &gt; stg.R2B1_1_Base &gt; stg.R2B1_3_base</t>
  </si>
  <si>
    <t>stg.A1_MotorAcquisitionQuoteInitiated &gt; stg.MFQInsurersQuoted &gt; stg.R2B1_3_base &gt; stg.R2B1_4_F1_MFQPrices</t>
  </si>
  <si>
    <t>stg.MFQInsurersQuoted &gt; stg.R2B1_3_base &gt; stg.R2B1_4_F1_MFQPrices</t>
  </si>
  <si>
    <t>edw.tbl_fact_mfq</t>
  </si>
  <si>
    <t>stg.R2B1_4_F1_MFQPrices</t>
  </si>
  <si>
    <t>stg.R0_MotorPoliciesEligibleForRenewals &gt; stg.R1_Motor_Renewals_EmailOffered &gt; stg.R2B1_1_Base &gt; stg.R2B1_3_base &gt; stg.R2B1_4_F1_MFQPrices</t>
  </si>
  <si>
    <t>stg.R0_MotorPoliciesEligibleForRenewals &gt; stg.R2B1_1_Base &gt; stg.R2B1_3_base &gt; stg.R2B1_4_F1_MFQPrices</t>
  </si>
  <si>
    <t>stg.R0_MotorPoliciesEligibleForRenewals &gt; stg.RenewalScvCustomerKeys &gt; stg.RenewalsDoingMFQ &gt; stg.R2B1_1_Base &gt; stg.R2B1_3_base &gt; stg.R2B1_4_F1_MFQPrices</t>
  </si>
  <si>
    <t>stg.R1_Motor_Renewals_EmailOffered &gt; stg.R2B1_1_Base &gt; stg.R2B1_3_base &gt; stg.R2B1_4_F1_MFQPrices</t>
  </si>
  <si>
    <t>stg.RenewalsDoingMFQ &gt; stg.R2B1_1_Base &gt; stg.R2B1_3_base &gt; stg.R2B1_4_F1_MFQPrices</t>
  </si>
  <si>
    <t>stg.RenewalScvCustomerKeys &gt; stg.RenewalsDoingMFQ &gt; stg.R2B1_1_Base &gt; stg.R2B1_3_base &gt; stg.R2B1_4_F1_MFQPrices</t>
  </si>
  <si>
    <t>stg.VM0_van_phone_numbers</t>
  </si>
  <si>
    <t>stg.A0_genesys_derived_data &gt; stg.AbandonedMTACalls</t>
  </si>
  <si>
    <t>stg.JJulyMTAs</t>
  </si>
  <si>
    <t>edw.tbl_fact_Policy_Mvt</t>
  </si>
  <si>
    <t>stg.JulyPolicyState</t>
  </si>
  <si>
    <t>stg.MotorMTAPolicies</t>
  </si>
  <si>
    <t>edw.tbl_fact_policy_mtc</t>
  </si>
  <si>
    <t>stg.JulyMotorCancellations</t>
  </si>
  <si>
    <t>stg.MotorEscalated20days</t>
  </si>
  <si>
    <t>tmp.CurrentPolicy</t>
  </si>
  <si>
    <t>stg.A0_genesys_derived_data &gt; stg.Claims_genesys_derived_data_filtered</t>
  </si>
  <si>
    <t>stg.Motor_PhoneNumbers</t>
  </si>
  <si>
    <t>pii.customer_data_assembled</t>
  </si>
  <si>
    <t>stg.A0_genesys_derived_data &gt; stg.DocRequestCustomers &gt; stg.DocRequestClientCodes</t>
  </si>
  <si>
    <t>stg.DocRequestClientCodes</t>
  </si>
  <si>
    <t>stg.A0_genesys_derived_data &gt; stg.DocRequest_genesys_derived_data_filtered</t>
  </si>
  <si>
    <t>dlk.HFQ_QuoteDetails_Snapshot_v2</t>
  </si>
  <si>
    <t>stg.HA1_HFQ_Quotes</t>
  </si>
  <si>
    <t>stg.A0_genesys_derived_data &gt; stg.HA0_genesys_derived_data_filtered</t>
  </si>
  <si>
    <t>stg.A0_genesys_derived_data &gt; stg.HA0F1_genesys_inbound_call_duration_summary</t>
  </si>
  <si>
    <t>dlk.HFQ_Response_Quotes</t>
  </si>
  <si>
    <t>stg.hfq_price_requested</t>
  </si>
  <si>
    <t>dlk.HFQ_PaymentRequest_Failed</t>
  </si>
  <si>
    <t>stg.HFQ_Payments</t>
  </si>
  <si>
    <t>dlk.HFQ_PaymentRequest_Request</t>
  </si>
  <si>
    <t>dlk.HFQ_PaymentRequest_Response</t>
  </si>
  <si>
    <t>dlk.HFQ_PaymentResponse_Response</t>
  </si>
  <si>
    <t>edw.exp_mychill_chase_daily_snapshot_home</t>
  </si>
  <si>
    <t>stg.R0_HomePoliciesEligibleForRenewals</t>
  </si>
  <si>
    <t>dlk.EXT_Home_QS_ClaimDetails</t>
  </si>
  <si>
    <t>dlk.ext_home_qs_policydetails</t>
  </si>
  <si>
    <t>stg.R0_HomePoliciesEligibleForRenewals &gt; stg.HR1a_Home_Renewals_EmailOffered</t>
  </si>
  <si>
    <t>stg.HR1a_Home_Renewals_EmailOffered</t>
  </si>
  <si>
    <t>stg.R0_HomePoliciesEligibleForRenewals &gt; stg.HR1b_Home_Renewals_PostOffered</t>
  </si>
  <si>
    <t>stg.HR1b_Home_Renewals_PostOffered</t>
  </si>
  <si>
    <t>stg.HFQ_Quotes &gt; stg.HomeRenewalsDoingHFQ</t>
  </si>
  <si>
    <t>stg.R0_HomePoliciesEligibleForRenewals &gt; stg.HomeRenewalScvCustomerKeys &gt; stg.HomeRenewalsDoingHFQ</t>
  </si>
  <si>
    <t>stg.HomeRenewalScvCustomerKeys &gt; stg.HomeRenewalsDoingHFQ</t>
  </si>
  <si>
    <t>stg.HomeRenewalsDoingHFQ</t>
  </si>
  <si>
    <t>stg.HR3B1_LapsedThisYearPolicy</t>
  </si>
  <si>
    <t>stg.R0_HomePoliciesEligibleForRenewals &gt; stg.HR3B1_LapsedThisYearPolicy</t>
  </si>
  <si>
    <t>stg.HR4_HomeRenewalsOnlinePayments</t>
  </si>
  <si>
    <t>stg.R0_HomePoliciesEligibleForRenewals &gt; stg.HR4_HomeRenewalsOnlinePayments</t>
  </si>
  <si>
    <t>stg.HFQ_Quotes &gt; stg.HomeRenewalsDoingHFQ &gt; stg.HR2B1_1_Base</t>
  </si>
  <si>
    <t>stg.HR2B1_1_Base</t>
  </si>
  <si>
    <t>stg.R0_HomePoliciesEligibleForRenewals &gt; stg.HomeRenewalScvCustomerKeys &gt; stg.HomeRenewalsDoingHFQ &gt; stg.HR2B1_1_Base</t>
  </si>
  <si>
    <t>stg.R0_HomePoliciesEligibleForRenewals &gt; stg.HR2B1_1_Base</t>
  </si>
  <si>
    <t>stg.HomeRenewalScvCustomerKeys &gt; stg.HomeRenewalsDoingHFQ &gt; stg.HR2B1_1_Base</t>
  </si>
  <si>
    <t>stg.HomeRenewalsDoingHFQ &gt; stg.HR2B1_1_Base</t>
  </si>
  <si>
    <t>stg.hfq_prices</t>
  </si>
  <si>
    <t>stg.A0_genesys_derived_data &gt; stg.AbandonedHomeMTACalls</t>
  </si>
  <si>
    <t>stg.JulyHomeCancellations</t>
  </si>
  <si>
    <t>stg.Home_PhoneNumbers</t>
  </si>
  <si>
    <t>dlk.vanquotedetails</t>
  </si>
  <si>
    <t>stg.A0_genesys_derived_data &gt; stg.Van_genesys_inbound_call_duration_summary</t>
  </si>
  <si>
    <t>stg.A0_genesys_derived_data &gt; stg.Van_genesys_derived_data_filtered</t>
  </si>
  <si>
    <t>stg.VanSales</t>
  </si>
  <si>
    <t>stg.VanRenewalsJuly</t>
  </si>
  <si>
    <t>stg.VanRenewals</t>
  </si>
  <si>
    <t>stg.R0_VanPoliciesEligibleForRenewals</t>
  </si>
  <si>
    <t>stg.VR0_VanPoliciesEligibleForRenewals</t>
  </si>
  <si>
    <t>stg.JulyVanCancellations</t>
  </si>
  <si>
    <t>stg.Van_PhoneNumbers</t>
  </si>
  <si>
    <t>dlk.EXT_Travel_Quotes</t>
  </si>
  <si>
    <t>dlk.EXT_Travel_policy</t>
  </si>
  <si>
    <t>stg.TravelQuotes</t>
  </si>
  <si>
    <t>edw.tbl_fact_TravelAllQuotesSales</t>
  </si>
  <si>
    <t>How to use this workbook</t>
  </si>
  <si>
    <t>Column G is the single status for each query and moves left to right through the list below. Columns I, K and L were filled in from the code in main\04 - Populate Episode Event Stream.ipynb and are a starting point for triage, not a decision. Column H is free text.</t>
  </si>
  <si>
    <t>When it applies</t>
  </si>
  <si>
    <t>Not yet looked at. The starting value for all 330.</t>
  </si>
  <si>
    <t>Read through, work understood, source confirmed to exist. Ready to pick up.</t>
  </si>
  <si>
    <t>Cannot start. The ods object does not exist yet, or a source is missing. Say what in column L.</t>
  </si>
  <si>
    <t>Being rewritten.</t>
  </si>
  <si>
    <t>Rewritten, waiting on a second pair of eyes.</t>
  </si>
  <si>
    <t>Rebuilt query runs and matches the July baseline volume.</t>
  </si>
  <si>
    <t>Merged into the production notebook.</t>
  </si>
  <si>
    <t>Step being dropped, or a duplicate of another step.</t>
  </si>
  <si>
    <t>Meaning</t>
  </si>
  <si>
    <t>Every table it reads is already in ods. Five queries.</t>
  </si>
  <si>
    <t>Reaches edw, dlk, pii or tmp somewhere in the chain, counting the staging tables the notebook builds itself. Column J names which.</t>
  </si>
  <si>
    <t>The query carries the build config window itself, so turning it into a delta is a local change.</t>
  </si>
  <si>
    <t>The query has no date filter of its own and inherits one from a staging table. The watermark has to move down into the query, or that staging table becomes the delta.</t>
  </si>
  <si>
    <t>No date filter anywhere in the chain.</t>
  </si>
  <si>
    <t>Picklists</t>
  </si>
  <si>
    <t>Source migration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</si>
</sst>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1"/>
      <color theme="1"/>
      <name val="Calibri"/>
      <family val="2"/>
      <charset val="1"/>
    </font>
    <font>
      <b/>
      <sz val="12"/>
      <name val="Arial"/>
      <charset val="1"/>
    </font>
    <font>
      <sz val="10"/>
      <name val="Arial"/>
      <charset val="1"/>
    </font>
    <font>
      <b/>
      <sz val="10"/>
      <color rgb="FFFFFFFF"/>
      <name val="Arial"/>
      <charset val="1"/>
    </font>
    <font>
      <b/>
      <sz val="10"/>
      <name val="Arial"/>
      <charset val="1"/>
    </font>
    <font>
      <i/>
      <sz val="9"/>
      <name val="Arial"/>
      <charset val="1"/>
    </font>
    <font>
      <b/>
      <sz val="11"/>
      <name val="Arial"/>
      <charset val="1"/>
    </font>
  </fonts>
  <fills count="6">
    <fill>
      <patternFill patternType="none"/>
    </fill>
    <fill>
      <patternFill patternType="gray125"/>
    </fill>
    <fill>
      <patternFill patternType="solid">
        <fgColor rgb="FF2F3E52"/>
        <bgColor rgb="FF44546A"/>
      </patternFill>
    </fill>
    <fill>
      <patternFill patternType="solid">
        <fgColor rgb="FF44546A"/>
        <bgColor rgb="FF2F3E52"/>
      </patternFill>
    </fill>
    <fill>
      <patternFill patternType="solid">
        <fgColor rgb="FFEDF0F5"/>
        <bgColor rgb="FFDCE3ED"/>
      </patternFill>
    </fill>
    <fill>
      <patternFill patternType="solid">
        <fgColor rgb="FFDCE3ED"/>
        <bgColor rgb="FFD9D9D9"/>
      </patternFill>
    </fill>
  </fills>
  <borders count="4">
    <border>
      <left/>
      <right/>
      <top/>
      <bottom/>
      <diagonal/>
    </border>
    <border>
      <left/>
      <right/>
      <top style="thin">
        <color rgb="FF9AA7B8"/>
      </top>
      <bottom style="thin">
        <color rgb="FF9AA7B8"/>
      </bottom>
      <diagonal/>
    </border>
    <border>
      <left/>
      <right/>
      <top/>
      <bottom style="thin">
        <color rgb="FFD9D9D9"/>
      </bottom>
      <diagonal/>
    </border>
    <border>
      <left/>
      <right/>
      <top style="thin">
        <color rgb="FF9AA7B8"/>
      </top>
      <bottom/>
      <diagonal/>
    </border>
  </borders>
  <cellStyleXfs count="1">
    <xf numFmtId="0" fontId="0" fillId="0" borderId="0"/>
  </cellStyleXfs>
  <cellXfs count="36">
    <xf numFmtId="0" fontId="0" fillId="0" borderId="0" xfId="0"/>
    <xf numFmtId="0" fontId="2" fillId="0" borderId="0" xfId="0" applyFont="1" applyAlignment="1">
      <alignment vertical="top" wrapText="1"/>
    </xf>
    <xf numFmtId="0" fontId="1" fillId="0" borderId="0" xfId="0" applyFont="1"/>
    <xf numFmtId="0" fontId="3" fillId="3" borderId="0" xfId="0" applyFont="1" applyFill="1" applyAlignment="1">
      <alignment horizontal="left" vertical="center"/>
    </xf>
    <xf numFmtId="0" fontId="3" fillId="3" borderId="0" xfId="0" applyFont="1" applyFill="1" applyAlignment="1">
      <alignment horizontal="center" vertical="center" wrapText="1"/>
    </xf>
    <xf numFmtId="0" fontId="2" fillId="0" borderId="0" xfId="0" applyFont="1" applyAlignment="1">
      <alignment horizontal="left" vertical="center"/>
    </xf>
    <xf numFmtId="3" fontId="2" fillId="0" borderId="0" xfId="0" applyNumberFormat="1" applyFont="1" applyAlignment="1">
      <alignment horizontal="center" vertical="center"/>
    </xf>
    <xf numFmtId="164" fontId="2" fillId="0" borderId="0" xfId="0" applyNumberFormat="1" applyFont="1" applyAlignment="1">
      <alignment horizontal="center" vertical="center"/>
    </xf>
    <xf numFmtId="0" fontId="4" fillId="4" borderId="0" xfId="0" applyFont="1" applyFill="1" applyAlignment="1">
      <alignment horizontal="left" vertical="center"/>
    </xf>
    <xf numFmtId="3" fontId="4" fillId="4" borderId="0" xfId="0" applyNumberFormat="1" applyFont="1" applyFill="1" applyAlignment="1">
      <alignment horizontal="center" vertical="center"/>
    </xf>
    <xf numFmtId="164" fontId="4" fillId="4" borderId="0" xfId="0" applyNumberFormat="1" applyFont="1" applyFill="1" applyAlignment="1">
      <alignment horizontal="center" vertical="center"/>
    </xf>
    <xf numFmtId="0" fontId="4" fillId="5" borderId="1" xfId="0" applyFont="1" applyFill="1" applyBorder="1" applyAlignment="1">
      <alignment horizontal="left" vertical="center"/>
    </xf>
    <xf numFmtId="3" fontId="4" fillId="5" borderId="1" xfId="0" applyNumberFormat="1" applyFont="1" applyFill="1" applyBorder="1" applyAlignment="1">
      <alignment horizontal="center" vertical="center"/>
    </xf>
    <xf numFmtId="164" fontId="4" fillId="5" borderId="1" xfId="0" applyNumberFormat="1" applyFont="1" applyFill="1" applyBorder="1" applyAlignment="1">
      <alignment horizontal="center" vertical="center"/>
    </xf>
    <xf numFmtId="0" fontId="5" fillId="0" borderId="0" xfId="0" applyFont="1"/>
    <xf numFmtId="0" fontId="2" fillId="0" borderId="2" xfId="0" applyFont="1" applyBorder="1" applyAlignment="1">
      <alignment vertical="top"/>
    </xf>
    <xf numFmtId="0" fontId="2" fillId="0" borderId="2" xfId="0" applyFont="1" applyBorder="1" applyAlignment="1">
      <alignment vertical="top" wrapText="1"/>
    </xf>
    <xf numFmtId="0" fontId="3" fillId="3" borderId="0" xfId="0" applyFont="1" applyFill="1" applyAlignment="1">
      <alignment horizontal="left" vertical="center" wrapText="1"/>
    </xf>
    <xf numFmtId="0" fontId="2" fillId="0" borderId="2" xfId="0" applyFont="1" applyBorder="1" applyAlignment="1">
      <alignment horizontal="left"/>
    </xf>
    <xf numFmtId="0" fontId="2" fillId="0" borderId="2" xfId="0" applyFont="1" applyBorder="1" applyAlignment="1">
      <alignment horizontal="center"/>
    </xf>
    <xf numFmtId="0" fontId="4" fillId="5" borderId="1" xfId="0" applyFont="1" applyFill="1" applyBorder="1"/>
    <xf numFmtId="0" fontId="2" fillId="0" borderId="0" xfId="0" applyFont="1" applyAlignment="1">
      <alignment horizontal="left" vertical="top"/>
    </xf>
    <xf numFmtId="0" fontId="2" fillId="0" borderId="0" xfId="0" applyFont="1" applyAlignment="1">
      <alignment horizontal="left" vertical="top" wrapText="1"/>
    </xf>
    <xf numFmtId="0" fontId="2" fillId="0" borderId="0" xfId="0" applyFont="1" applyAlignment="1">
      <alignment horizontal="center" vertical="top"/>
    </xf>
    <xf numFmtId="0" fontId="2" fillId="0" borderId="3" xfId="0" applyFont="1" applyBorder="1" applyAlignment="1">
      <alignment horizontal="left" vertical="top"/>
    </xf>
    <xf numFmtId="0" fontId="2" fillId="0" borderId="3" xfId="0" applyFont="1" applyBorder="1" applyAlignment="1">
      <alignment horizontal="left" vertical="top" wrapText="1"/>
    </xf>
    <xf numFmtId="0" fontId="2" fillId="0" borderId="3" xfId="0" applyFont="1" applyBorder="1" applyAlignment="1">
      <alignment horizontal="center" vertical="top"/>
    </xf>
    <xf numFmtId="0" fontId="2" fillId="0" borderId="2" xfId="0" applyFont="1" applyBorder="1" applyAlignment="1">
      <alignment horizontal="left" vertical="top"/>
    </xf>
    <xf numFmtId="0" fontId="2" fillId="0" borderId="2" xfId="0" applyFont="1" applyBorder="1" applyAlignment="1">
      <alignment horizontal="left" vertical="top" wrapText="1"/>
    </xf>
    <xf numFmtId="0" fontId="6" fillId="0" borderId="0" xfId="0" applyFont="1" applyAlignment="1">
      <alignment vertical="top"/>
    </xf>
    <xf numFmtId="0" fontId="4" fillId="0" borderId="0" xfId="0" applyFont="1" applyAlignment="1">
      <alignment vertical="top"/>
    </xf>
    <xf numFmtId="0" fontId="2" fillId="0" borderId="0" xfId="0" applyFont="1" applyAlignment="1">
      <alignment vertical="top"/>
    </xf>
    <xf numFmtId="0" fontId="4" fillId="0" borderId="0" xfId="0" applyFont="1"/>
    <xf numFmtId="0" fontId="2" fillId="0" borderId="0" xfId="0" applyFont="1"/>
    <xf numFmtId="0" fontId="2" fillId="0" borderId="0" xfId="0" applyFont="1" applyAlignment="1">
      <alignment vertical="top" wrapText="1"/>
    </xf>
    <xf numFmtId="0" fontId="3"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DF0F5"/>
      <rgbColor rgb="FFDCE3ED"/>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4546A"/>
      <rgbColor rgb="FF9AA7B8"/>
      <rgbColor rgb="FF003366"/>
      <rgbColor rgb="FF339966"/>
      <rgbColor rgb="FF003300"/>
      <rgbColor rgb="FF333300"/>
      <rgbColor rgb="FF993300"/>
      <rgbColor rgb="FF993366"/>
      <rgbColor rgb="FF333399"/>
      <rgbColor rgb="FF2F3E5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6"/>
  <sheetViews>
    <sheetView zoomScaleNormal="100" workbookViewId="0">
      <pane xSplit="2" ySplit="6" topLeftCell="C7" activePane="bottomRight" state="frozen"/>
      <selection pane="topRight" activeCell="C1" sqref="C1"/>
      <selection pane="bottomLeft" activeCell="A7" sqref="A7"/>
      <selection pane="bottomRight"/>
    </sheetView>
  </sheetViews>
  <sheetFormatPr defaultColWidth="8.6328125" defaultRowHeight="14.5" x14ac:dyDescent="0.35"/>
  <cols>
    <col min="1" max="1" width="12" customWidth="1"/>
    <col min="2" max="2" width="15" customWidth="1"/>
    <col min="3" max="3" width="8" customWidth="1"/>
    <col min="4" max="11" width="12" customWidth="1"/>
    <col min="12" max="12" width="3" customWidth="1"/>
    <col min="13" max="14" width="12" customWidth="1"/>
    <col min="15" max="15" width="3" customWidth="1"/>
    <col min="16" max="18" width="12" customWidth="1"/>
  </cols>
  <sheetData>
    <row r="1" spans="1:18" ht="15" customHeight="1" x14ac:dyDescent="0.35">
      <c r="A1" s="2" t="s">
        <v>0</v>
      </c>
    </row>
    <row r="2" spans="1:18" ht="15" customHeight="1" x14ac:dyDescent="0.35">
      <c r="A2" s="34" t="s">
        <v>1</v>
      </c>
      <c r="B2" s="34"/>
      <c r="C2" s="34"/>
      <c r="D2" s="34"/>
      <c r="E2" s="34"/>
      <c r="F2" s="34"/>
      <c r="G2" s="34"/>
      <c r="H2" s="34"/>
      <c r="I2" s="34"/>
      <c r="J2" s="34"/>
      <c r="K2" s="34"/>
      <c r="L2" s="34"/>
      <c r="M2" s="34"/>
      <c r="N2" s="34"/>
      <c r="O2" s="34"/>
      <c r="P2" s="34"/>
      <c r="Q2" s="34"/>
      <c r="R2" s="34"/>
    </row>
    <row r="3" spans="1:18" ht="15" customHeight="1" x14ac:dyDescent="0.35">
      <c r="A3" s="34"/>
      <c r="B3" s="34"/>
      <c r="C3" s="34"/>
      <c r="D3" s="34"/>
      <c r="E3" s="34"/>
      <c r="F3" s="34"/>
      <c r="G3" s="34"/>
      <c r="H3" s="34"/>
      <c r="I3" s="34"/>
      <c r="J3" s="34"/>
      <c r="K3" s="34"/>
      <c r="L3" s="34"/>
      <c r="M3" s="34"/>
      <c r="N3" s="34"/>
      <c r="O3" s="34"/>
      <c r="P3" s="34"/>
      <c r="Q3" s="34"/>
      <c r="R3" s="34"/>
    </row>
    <row r="5" spans="1:18" ht="18" customHeight="1" x14ac:dyDescent="0.35">
      <c r="D5" s="35" t="s">
        <v>2</v>
      </c>
      <c r="E5" s="35"/>
      <c r="F5" s="35"/>
      <c r="G5" s="35"/>
      <c r="H5" s="35"/>
      <c r="I5" s="35"/>
      <c r="J5" s="35"/>
      <c r="K5" s="35"/>
      <c r="M5" s="35" t="s">
        <v>3</v>
      </c>
      <c r="N5" s="35"/>
      <c r="P5" s="35" t="s">
        <v>4</v>
      </c>
      <c r="Q5" s="35"/>
      <c r="R5" s="35"/>
    </row>
    <row r="6" spans="1:18" ht="31.5" customHeight="1" x14ac:dyDescent="0.35">
      <c r="A6" s="3" t="s">
        <v>5</v>
      </c>
      <c r="B6" s="3" t="s">
        <v>6</v>
      </c>
      <c r="C6" s="3" t="s">
        <v>7</v>
      </c>
      <c r="D6" s="4" t="s">
        <v>8</v>
      </c>
      <c r="E6" s="4" t="s">
        <v>9</v>
      </c>
      <c r="F6" s="4" t="s">
        <v>10</v>
      </c>
      <c r="G6" s="4" t="s">
        <v>11</v>
      </c>
      <c r="H6" s="4" t="s">
        <v>12</v>
      </c>
      <c r="I6" s="4" t="s">
        <v>13</v>
      </c>
      <c r="J6" s="4" t="s">
        <v>14</v>
      </c>
      <c r="K6" s="4" t="s">
        <v>15</v>
      </c>
      <c r="M6" s="4" t="s">
        <v>16</v>
      </c>
      <c r="N6" s="4" t="s">
        <v>17</v>
      </c>
      <c r="P6" s="4" t="s">
        <v>18</v>
      </c>
      <c r="Q6" s="4" t="s">
        <v>19</v>
      </c>
      <c r="R6" s="4" t="s">
        <v>20</v>
      </c>
    </row>
    <row r="7" spans="1:18" ht="15" customHeight="1" x14ac:dyDescent="0.35">
      <c r="A7" s="5" t="s">
        <v>21</v>
      </c>
      <c r="B7" s="5" t="s">
        <v>22</v>
      </c>
      <c r="C7" s="6">
        <f>COUNTIFS('Event stream steps'!$C$2:$C$331,$A7,'Event stream steps'!$D$2:$D$331,$B7)</f>
        <v>35</v>
      </c>
      <c r="D7" s="7">
        <f>IFERROR(COUNTIFS('Event stream steps'!$C$2:$C$331,$A7,'Event stream steps'!$D$2:$D$331,$B7,'Event stream steps'!$G$2:$G$331,D$6)/$C7,0)</f>
        <v>1</v>
      </c>
      <c r="E7" s="7">
        <f>IFERROR(COUNTIFS('Event stream steps'!$C$2:$C$331,$A7,'Event stream steps'!$D$2:$D$331,$B7,'Event stream steps'!$G$2:$G$331,E$6)/$C7,0)</f>
        <v>0</v>
      </c>
      <c r="F7" s="7">
        <f>IFERROR(COUNTIFS('Event stream steps'!$C$2:$C$331,$A7,'Event stream steps'!$D$2:$D$331,$B7,'Event stream steps'!$G$2:$G$331,F$6)/$C7,0)</f>
        <v>0</v>
      </c>
      <c r="G7" s="7">
        <f>IFERROR(COUNTIFS('Event stream steps'!$C$2:$C$331,$A7,'Event stream steps'!$D$2:$D$331,$B7,'Event stream steps'!$G$2:$G$331,G$6)/$C7,0)</f>
        <v>0</v>
      </c>
      <c r="H7" s="7">
        <f>IFERROR(COUNTIFS('Event stream steps'!$C$2:$C$331,$A7,'Event stream steps'!$D$2:$D$331,$B7,'Event stream steps'!$G$2:$G$331,H$6)/$C7,0)</f>
        <v>0</v>
      </c>
      <c r="I7" s="7">
        <f>IFERROR(COUNTIFS('Event stream steps'!$C$2:$C$331,$A7,'Event stream steps'!$D$2:$D$331,$B7,'Event stream steps'!$G$2:$G$331,I$6)/$C7,0)</f>
        <v>0</v>
      </c>
      <c r="J7" s="7">
        <f>IFERROR(COUNTIFS('Event stream steps'!$C$2:$C$331,$A7,'Event stream steps'!$D$2:$D$331,$B7,'Event stream steps'!$G$2:$G$331,J$6)/$C7,0)</f>
        <v>0</v>
      </c>
      <c r="K7" s="7">
        <f>IFERROR(COUNTIFS('Event stream steps'!$C$2:$C$331,$A7,'Event stream steps'!$D$2:$D$331,$B7,'Event stream steps'!$G$2:$G$331,K$6)/$C7,0)</f>
        <v>0</v>
      </c>
      <c r="M7" s="7">
        <f>IFERROR(COUNTIFS('Event stream steps'!$C$2:$C$331,$A7,'Event stream steps'!$D$2:$D$331,$B7,'Event stream steps'!$I$2:$I$331,M$6)/$C7,0)</f>
        <v>0</v>
      </c>
      <c r="N7" s="7">
        <f>IFERROR(COUNTIFS('Event stream steps'!$C$2:$C$331,$A7,'Event stream steps'!$D$2:$D$331,$B7,'Event stream steps'!$I$2:$I$331,N$6)/$C7,0)</f>
        <v>1</v>
      </c>
      <c r="P7" s="7">
        <f>IFERROR(COUNTIFS('Event stream steps'!$C$2:$C$331,$A7,'Event stream steps'!$D$2:$D$331,$B7,'Event stream steps'!$K$2:$K$331,P$6)/$C7,0)</f>
        <v>0.7142857142857143</v>
      </c>
      <c r="Q7" s="7">
        <f>IFERROR(COUNTIFS('Event stream steps'!$C$2:$C$331,$A7,'Event stream steps'!$D$2:$D$331,$B7,'Event stream steps'!$K$2:$K$331,Q$6)/$C7,0)</f>
        <v>0.2857142857142857</v>
      </c>
      <c r="R7" s="7">
        <f>IFERROR(COUNTIFS('Event stream steps'!$C$2:$C$331,$A7,'Event stream steps'!$D$2:$D$331,$B7,'Event stream steps'!$K$2:$K$331,R$6)/$C7,0)</f>
        <v>0</v>
      </c>
    </row>
    <row r="8" spans="1:18" ht="15" customHeight="1" x14ac:dyDescent="0.35">
      <c r="A8" s="5" t="s">
        <v>21</v>
      </c>
      <c r="B8" s="5" t="s">
        <v>23</v>
      </c>
      <c r="C8" s="6">
        <f>COUNTIFS('Event stream steps'!$C$2:$C$331,$A8,'Event stream steps'!$D$2:$D$331,$B8)</f>
        <v>56</v>
      </c>
      <c r="D8" s="7">
        <f>IFERROR(COUNTIFS('Event stream steps'!$C$2:$C$331,$A8,'Event stream steps'!$D$2:$D$331,$B8,'Event stream steps'!$G$2:$G$331,D$6)/$C8,0)</f>
        <v>1</v>
      </c>
      <c r="E8" s="7">
        <f>IFERROR(COUNTIFS('Event stream steps'!$C$2:$C$331,$A8,'Event stream steps'!$D$2:$D$331,$B8,'Event stream steps'!$G$2:$G$331,E$6)/$C8,0)</f>
        <v>0</v>
      </c>
      <c r="F8" s="7">
        <f>IFERROR(COUNTIFS('Event stream steps'!$C$2:$C$331,$A8,'Event stream steps'!$D$2:$D$331,$B8,'Event stream steps'!$G$2:$G$331,F$6)/$C8,0)</f>
        <v>0</v>
      </c>
      <c r="G8" s="7">
        <f>IFERROR(COUNTIFS('Event stream steps'!$C$2:$C$331,$A8,'Event stream steps'!$D$2:$D$331,$B8,'Event stream steps'!$G$2:$G$331,G$6)/$C8,0)</f>
        <v>0</v>
      </c>
      <c r="H8" s="7">
        <f>IFERROR(COUNTIFS('Event stream steps'!$C$2:$C$331,$A8,'Event stream steps'!$D$2:$D$331,$B8,'Event stream steps'!$G$2:$G$331,H$6)/$C8,0)</f>
        <v>0</v>
      </c>
      <c r="I8" s="7">
        <f>IFERROR(COUNTIFS('Event stream steps'!$C$2:$C$331,$A8,'Event stream steps'!$D$2:$D$331,$B8,'Event stream steps'!$G$2:$G$331,I$6)/$C8,0)</f>
        <v>0</v>
      </c>
      <c r="J8" s="7">
        <f>IFERROR(COUNTIFS('Event stream steps'!$C$2:$C$331,$A8,'Event stream steps'!$D$2:$D$331,$B8,'Event stream steps'!$G$2:$G$331,J$6)/$C8,0)</f>
        <v>0</v>
      </c>
      <c r="K8" s="7">
        <f>IFERROR(COUNTIFS('Event stream steps'!$C$2:$C$331,$A8,'Event stream steps'!$D$2:$D$331,$B8,'Event stream steps'!$G$2:$G$331,K$6)/$C8,0)</f>
        <v>0</v>
      </c>
      <c r="M8" s="7">
        <f>IFERROR(COUNTIFS('Event stream steps'!$C$2:$C$331,$A8,'Event stream steps'!$D$2:$D$331,$B8,'Event stream steps'!$I$2:$I$331,M$6)/$C8,0)</f>
        <v>3.5714285714285712E-2</v>
      </c>
      <c r="N8" s="7">
        <f>IFERROR(COUNTIFS('Event stream steps'!$C$2:$C$331,$A8,'Event stream steps'!$D$2:$D$331,$B8,'Event stream steps'!$I$2:$I$331,N$6)/$C8,0)</f>
        <v>0.9642857142857143</v>
      </c>
      <c r="P8" s="7">
        <f>IFERROR(COUNTIFS('Event stream steps'!$C$2:$C$331,$A8,'Event stream steps'!$D$2:$D$331,$B8,'Event stream steps'!$K$2:$K$331,P$6)/$C8,0)</f>
        <v>0.5357142857142857</v>
      </c>
      <c r="Q8" s="7">
        <f>IFERROR(COUNTIFS('Event stream steps'!$C$2:$C$331,$A8,'Event stream steps'!$D$2:$D$331,$B8,'Event stream steps'!$K$2:$K$331,Q$6)/$C8,0)</f>
        <v>0.4642857142857143</v>
      </c>
      <c r="R8" s="7">
        <f>IFERROR(COUNTIFS('Event stream steps'!$C$2:$C$331,$A8,'Event stream steps'!$D$2:$D$331,$B8,'Event stream steps'!$K$2:$K$331,R$6)/$C8,0)</f>
        <v>0</v>
      </c>
    </row>
    <row r="9" spans="1:18" ht="15" customHeight="1" x14ac:dyDescent="0.35">
      <c r="A9" s="5" t="s">
        <v>21</v>
      </c>
      <c r="B9" s="5" t="s">
        <v>24</v>
      </c>
      <c r="C9" s="6">
        <f>COUNTIFS('Event stream steps'!$C$2:$C$331,$A9,'Event stream steps'!$D$2:$D$331,$B9)</f>
        <v>16</v>
      </c>
      <c r="D9" s="7">
        <f>IFERROR(COUNTIFS('Event stream steps'!$C$2:$C$331,$A9,'Event stream steps'!$D$2:$D$331,$B9,'Event stream steps'!$G$2:$G$331,D$6)/$C9,0)</f>
        <v>1</v>
      </c>
      <c r="E9" s="7">
        <f>IFERROR(COUNTIFS('Event stream steps'!$C$2:$C$331,$A9,'Event stream steps'!$D$2:$D$331,$B9,'Event stream steps'!$G$2:$G$331,E$6)/$C9,0)</f>
        <v>0</v>
      </c>
      <c r="F9" s="7">
        <f>IFERROR(COUNTIFS('Event stream steps'!$C$2:$C$331,$A9,'Event stream steps'!$D$2:$D$331,$B9,'Event stream steps'!$G$2:$G$331,F$6)/$C9,0)</f>
        <v>0</v>
      </c>
      <c r="G9" s="7">
        <f>IFERROR(COUNTIFS('Event stream steps'!$C$2:$C$331,$A9,'Event stream steps'!$D$2:$D$331,$B9,'Event stream steps'!$G$2:$G$331,G$6)/$C9,0)</f>
        <v>0</v>
      </c>
      <c r="H9" s="7">
        <f>IFERROR(COUNTIFS('Event stream steps'!$C$2:$C$331,$A9,'Event stream steps'!$D$2:$D$331,$B9,'Event stream steps'!$G$2:$G$331,H$6)/$C9,0)</f>
        <v>0</v>
      </c>
      <c r="I9" s="7">
        <f>IFERROR(COUNTIFS('Event stream steps'!$C$2:$C$331,$A9,'Event stream steps'!$D$2:$D$331,$B9,'Event stream steps'!$G$2:$G$331,I$6)/$C9,0)</f>
        <v>0</v>
      </c>
      <c r="J9" s="7">
        <f>IFERROR(COUNTIFS('Event stream steps'!$C$2:$C$331,$A9,'Event stream steps'!$D$2:$D$331,$B9,'Event stream steps'!$G$2:$G$331,J$6)/$C9,0)</f>
        <v>0</v>
      </c>
      <c r="K9" s="7">
        <f>IFERROR(COUNTIFS('Event stream steps'!$C$2:$C$331,$A9,'Event stream steps'!$D$2:$D$331,$B9,'Event stream steps'!$G$2:$G$331,K$6)/$C9,0)</f>
        <v>0</v>
      </c>
      <c r="M9" s="7">
        <f>IFERROR(COUNTIFS('Event stream steps'!$C$2:$C$331,$A9,'Event stream steps'!$D$2:$D$331,$B9,'Event stream steps'!$I$2:$I$331,M$6)/$C9,0)</f>
        <v>0</v>
      </c>
      <c r="N9" s="7">
        <f>IFERROR(COUNTIFS('Event stream steps'!$C$2:$C$331,$A9,'Event stream steps'!$D$2:$D$331,$B9,'Event stream steps'!$I$2:$I$331,N$6)/$C9,0)</f>
        <v>1</v>
      </c>
      <c r="P9" s="7">
        <f>IFERROR(COUNTIFS('Event stream steps'!$C$2:$C$331,$A9,'Event stream steps'!$D$2:$D$331,$B9,'Event stream steps'!$K$2:$K$331,P$6)/$C9,0)</f>
        <v>0.4375</v>
      </c>
      <c r="Q9" s="7">
        <f>IFERROR(COUNTIFS('Event stream steps'!$C$2:$C$331,$A9,'Event stream steps'!$D$2:$D$331,$B9,'Event stream steps'!$K$2:$K$331,Q$6)/$C9,0)</f>
        <v>0.5625</v>
      </c>
      <c r="R9" s="7">
        <f>IFERROR(COUNTIFS('Event stream steps'!$C$2:$C$331,$A9,'Event stream steps'!$D$2:$D$331,$B9,'Event stream steps'!$K$2:$K$331,R$6)/$C9,0)</f>
        <v>0</v>
      </c>
    </row>
    <row r="10" spans="1:18" ht="15" customHeight="1" x14ac:dyDescent="0.35">
      <c r="A10" s="5" t="s">
        <v>21</v>
      </c>
      <c r="B10" s="5" t="s">
        <v>25</v>
      </c>
      <c r="C10" s="6">
        <f>COUNTIFS('Event stream steps'!$C$2:$C$331,$A10,'Event stream steps'!$D$2:$D$331,$B10)</f>
        <v>7</v>
      </c>
      <c r="D10" s="7">
        <f>IFERROR(COUNTIFS('Event stream steps'!$C$2:$C$331,$A10,'Event stream steps'!$D$2:$D$331,$B10,'Event stream steps'!$G$2:$G$331,D$6)/$C10,0)</f>
        <v>1</v>
      </c>
      <c r="E10" s="7">
        <f>IFERROR(COUNTIFS('Event stream steps'!$C$2:$C$331,$A10,'Event stream steps'!$D$2:$D$331,$B10,'Event stream steps'!$G$2:$G$331,E$6)/$C10,0)</f>
        <v>0</v>
      </c>
      <c r="F10" s="7">
        <f>IFERROR(COUNTIFS('Event stream steps'!$C$2:$C$331,$A10,'Event stream steps'!$D$2:$D$331,$B10,'Event stream steps'!$G$2:$G$331,F$6)/$C10,0)</f>
        <v>0</v>
      </c>
      <c r="G10" s="7">
        <f>IFERROR(COUNTIFS('Event stream steps'!$C$2:$C$331,$A10,'Event stream steps'!$D$2:$D$331,$B10,'Event stream steps'!$G$2:$G$331,G$6)/$C10,0)</f>
        <v>0</v>
      </c>
      <c r="H10" s="7">
        <f>IFERROR(COUNTIFS('Event stream steps'!$C$2:$C$331,$A10,'Event stream steps'!$D$2:$D$331,$B10,'Event stream steps'!$G$2:$G$331,H$6)/$C10,0)</f>
        <v>0</v>
      </c>
      <c r="I10" s="7">
        <f>IFERROR(COUNTIFS('Event stream steps'!$C$2:$C$331,$A10,'Event stream steps'!$D$2:$D$331,$B10,'Event stream steps'!$G$2:$G$331,I$6)/$C10,0)</f>
        <v>0</v>
      </c>
      <c r="J10" s="7">
        <f>IFERROR(COUNTIFS('Event stream steps'!$C$2:$C$331,$A10,'Event stream steps'!$D$2:$D$331,$B10,'Event stream steps'!$G$2:$G$331,J$6)/$C10,0)</f>
        <v>0</v>
      </c>
      <c r="K10" s="7">
        <f>IFERROR(COUNTIFS('Event stream steps'!$C$2:$C$331,$A10,'Event stream steps'!$D$2:$D$331,$B10,'Event stream steps'!$G$2:$G$331,K$6)/$C10,0)</f>
        <v>0</v>
      </c>
      <c r="M10" s="7">
        <f>IFERROR(COUNTIFS('Event stream steps'!$C$2:$C$331,$A10,'Event stream steps'!$D$2:$D$331,$B10,'Event stream steps'!$I$2:$I$331,M$6)/$C10,0)</f>
        <v>0.14285714285714285</v>
      </c>
      <c r="N10" s="7">
        <f>IFERROR(COUNTIFS('Event stream steps'!$C$2:$C$331,$A10,'Event stream steps'!$D$2:$D$331,$B10,'Event stream steps'!$I$2:$I$331,N$6)/$C10,0)</f>
        <v>0.8571428571428571</v>
      </c>
      <c r="P10" s="7">
        <f>IFERROR(COUNTIFS('Event stream steps'!$C$2:$C$331,$A10,'Event stream steps'!$D$2:$D$331,$B10,'Event stream steps'!$K$2:$K$331,P$6)/$C10,0)</f>
        <v>1</v>
      </c>
      <c r="Q10" s="7">
        <f>IFERROR(COUNTIFS('Event stream steps'!$C$2:$C$331,$A10,'Event stream steps'!$D$2:$D$331,$B10,'Event stream steps'!$K$2:$K$331,Q$6)/$C10,0)</f>
        <v>0</v>
      </c>
      <c r="R10" s="7">
        <f>IFERROR(COUNTIFS('Event stream steps'!$C$2:$C$331,$A10,'Event stream steps'!$D$2:$D$331,$B10,'Event stream steps'!$K$2:$K$331,R$6)/$C10,0)</f>
        <v>0</v>
      </c>
    </row>
    <row r="11" spans="1:18" ht="15" customHeight="1" x14ac:dyDescent="0.35">
      <c r="A11" s="5" t="s">
        <v>21</v>
      </c>
      <c r="B11" s="5" t="s">
        <v>26</v>
      </c>
      <c r="C11" s="6">
        <f>COUNTIFS('Event stream steps'!$C$2:$C$331,$A11,'Event stream steps'!$D$2:$D$331,$B11)</f>
        <v>5</v>
      </c>
      <c r="D11" s="7">
        <f>IFERROR(COUNTIFS('Event stream steps'!$C$2:$C$331,$A11,'Event stream steps'!$D$2:$D$331,$B11,'Event stream steps'!$G$2:$G$331,D$6)/$C11,0)</f>
        <v>1</v>
      </c>
      <c r="E11" s="7">
        <f>IFERROR(COUNTIFS('Event stream steps'!$C$2:$C$331,$A11,'Event stream steps'!$D$2:$D$331,$B11,'Event stream steps'!$G$2:$G$331,E$6)/$C11,0)</f>
        <v>0</v>
      </c>
      <c r="F11" s="7">
        <f>IFERROR(COUNTIFS('Event stream steps'!$C$2:$C$331,$A11,'Event stream steps'!$D$2:$D$331,$B11,'Event stream steps'!$G$2:$G$331,F$6)/$C11,0)</f>
        <v>0</v>
      </c>
      <c r="G11" s="7">
        <f>IFERROR(COUNTIFS('Event stream steps'!$C$2:$C$331,$A11,'Event stream steps'!$D$2:$D$331,$B11,'Event stream steps'!$G$2:$G$331,G$6)/$C11,0)</f>
        <v>0</v>
      </c>
      <c r="H11" s="7">
        <f>IFERROR(COUNTIFS('Event stream steps'!$C$2:$C$331,$A11,'Event stream steps'!$D$2:$D$331,$B11,'Event stream steps'!$G$2:$G$331,H$6)/$C11,0)</f>
        <v>0</v>
      </c>
      <c r="I11" s="7">
        <f>IFERROR(COUNTIFS('Event stream steps'!$C$2:$C$331,$A11,'Event stream steps'!$D$2:$D$331,$B11,'Event stream steps'!$G$2:$G$331,I$6)/$C11,0)</f>
        <v>0</v>
      </c>
      <c r="J11" s="7">
        <f>IFERROR(COUNTIFS('Event stream steps'!$C$2:$C$331,$A11,'Event stream steps'!$D$2:$D$331,$B11,'Event stream steps'!$G$2:$G$331,J$6)/$C11,0)</f>
        <v>0</v>
      </c>
      <c r="K11" s="7">
        <f>IFERROR(COUNTIFS('Event stream steps'!$C$2:$C$331,$A11,'Event stream steps'!$D$2:$D$331,$B11,'Event stream steps'!$G$2:$G$331,K$6)/$C11,0)</f>
        <v>0</v>
      </c>
      <c r="M11" s="7">
        <f>IFERROR(COUNTIFS('Event stream steps'!$C$2:$C$331,$A11,'Event stream steps'!$D$2:$D$331,$B11,'Event stream steps'!$I$2:$I$331,M$6)/$C11,0)</f>
        <v>0</v>
      </c>
      <c r="N11" s="7">
        <f>IFERROR(COUNTIFS('Event stream steps'!$C$2:$C$331,$A11,'Event stream steps'!$D$2:$D$331,$B11,'Event stream steps'!$I$2:$I$331,N$6)/$C11,0)</f>
        <v>1</v>
      </c>
      <c r="P11" s="7">
        <f>IFERROR(COUNTIFS('Event stream steps'!$C$2:$C$331,$A11,'Event stream steps'!$D$2:$D$331,$B11,'Event stream steps'!$K$2:$K$331,P$6)/$C11,0)</f>
        <v>1</v>
      </c>
      <c r="Q11" s="7">
        <f>IFERROR(COUNTIFS('Event stream steps'!$C$2:$C$331,$A11,'Event stream steps'!$D$2:$D$331,$B11,'Event stream steps'!$K$2:$K$331,Q$6)/$C11,0)</f>
        <v>0</v>
      </c>
      <c r="R11" s="7">
        <f>IFERROR(COUNTIFS('Event stream steps'!$C$2:$C$331,$A11,'Event stream steps'!$D$2:$D$331,$B11,'Event stream steps'!$K$2:$K$331,R$6)/$C11,0)</f>
        <v>0</v>
      </c>
    </row>
    <row r="12" spans="1:18" ht="15" customHeight="1" x14ac:dyDescent="0.35">
      <c r="A12" s="5" t="s">
        <v>21</v>
      </c>
      <c r="B12" s="5" t="s">
        <v>27</v>
      </c>
      <c r="C12" s="6">
        <f>COUNTIFS('Event stream steps'!$C$2:$C$331,$A12,'Event stream steps'!$D$2:$D$331,$B12)</f>
        <v>1</v>
      </c>
      <c r="D12" s="7">
        <f>IFERROR(COUNTIFS('Event stream steps'!$C$2:$C$331,$A12,'Event stream steps'!$D$2:$D$331,$B12,'Event stream steps'!$G$2:$G$331,D$6)/$C12,0)</f>
        <v>1</v>
      </c>
      <c r="E12" s="7">
        <f>IFERROR(COUNTIFS('Event stream steps'!$C$2:$C$331,$A12,'Event stream steps'!$D$2:$D$331,$B12,'Event stream steps'!$G$2:$G$331,E$6)/$C12,0)</f>
        <v>0</v>
      </c>
      <c r="F12" s="7">
        <f>IFERROR(COUNTIFS('Event stream steps'!$C$2:$C$331,$A12,'Event stream steps'!$D$2:$D$331,$B12,'Event stream steps'!$G$2:$G$331,F$6)/$C12,0)</f>
        <v>0</v>
      </c>
      <c r="G12" s="7">
        <f>IFERROR(COUNTIFS('Event stream steps'!$C$2:$C$331,$A12,'Event stream steps'!$D$2:$D$331,$B12,'Event stream steps'!$G$2:$G$331,G$6)/$C12,0)</f>
        <v>0</v>
      </c>
      <c r="H12" s="7">
        <f>IFERROR(COUNTIFS('Event stream steps'!$C$2:$C$331,$A12,'Event stream steps'!$D$2:$D$331,$B12,'Event stream steps'!$G$2:$G$331,H$6)/$C12,0)</f>
        <v>0</v>
      </c>
      <c r="I12" s="7">
        <f>IFERROR(COUNTIFS('Event stream steps'!$C$2:$C$331,$A12,'Event stream steps'!$D$2:$D$331,$B12,'Event stream steps'!$G$2:$G$331,I$6)/$C12,0)</f>
        <v>0</v>
      </c>
      <c r="J12" s="7">
        <f>IFERROR(COUNTIFS('Event stream steps'!$C$2:$C$331,$A12,'Event stream steps'!$D$2:$D$331,$B12,'Event stream steps'!$G$2:$G$331,J$6)/$C12,0)</f>
        <v>0</v>
      </c>
      <c r="K12" s="7">
        <f>IFERROR(COUNTIFS('Event stream steps'!$C$2:$C$331,$A12,'Event stream steps'!$D$2:$D$331,$B12,'Event stream steps'!$G$2:$G$331,K$6)/$C12,0)</f>
        <v>0</v>
      </c>
      <c r="M12" s="7">
        <f>IFERROR(COUNTIFS('Event stream steps'!$C$2:$C$331,$A12,'Event stream steps'!$D$2:$D$331,$B12,'Event stream steps'!$I$2:$I$331,M$6)/$C12,0)</f>
        <v>0</v>
      </c>
      <c r="N12" s="7">
        <f>IFERROR(COUNTIFS('Event stream steps'!$C$2:$C$331,$A12,'Event stream steps'!$D$2:$D$331,$B12,'Event stream steps'!$I$2:$I$331,N$6)/$C12,0)</f>
        <v>1</v>
      </c>
      <c r="P12" s="7">
        <f>IFERROR(COUNTIFS('Event stream steps'!$C$2:$C$331,$A12,'Event stream steps'!$D$2:$D$331,$B12,'Event stream steps'!$K$2:$K$331,P$6)/$C12,0)</f>
        <v>0</v>
      </c>
      <c r="Q12" s="7">
        <f>IFERROR(COUNTIFS('Event stream steps'!$C$2:$C$331,$A12,'Event stream steps'!$D$2:$D$331,$B12,'Event stream steps'!$K$2:$K$331,Q$6)/$C12,0)</f>
        <v>1</v>
      </c>
      <c r="R12" s="7">
        <f>IFERROR(COUNTIFS('Event stream steps'!$C$2:$C$331,$A12,'Event stream steps'!$D$2:$D$331,$B12,'Event stream steps'!$K$2:$K$331,R$6)/$C12,0)</f>
        <v>0</v>
      </c>
    </row>
    <row r="13" spans="1:18" ht="15" customHeight="1" x14ac:dyDescent="0.35">
      <c r="A13" s="5" t="s">
        <v>21</v>
      </c>
      <c r="B13" s="5" t="s">
        <v>28</v>
      </c>
      <c r="C13" s="6">
        <f>COUNTIFS('Event stream steps'!$C$2:$C$331,$A13,'Event stream steps'!$D$2:$D$331,$B13)</f>
        <v>6</v>
      </c>
      <c r="D13" s="7">
        <f>IFERROR(COUNTIFS('Event stream steps'!$C$2:$C$331,$A13,'Event stream steps'!$D$2:$D$331,$B13,'Event stream steps'!$G$2:$G$331,D$6)/$C13,0)</f>
        <v>1</v>
      </c>
      <c r="E13" s="7">
        <f>IFERROR(COUNTIFS('Event stream steps'!$C$2:$C$331,$A13,'Event stream steps'!$D$2:$D$331,$B13,'Event stream steps'!$G$2:$G$331,E$6)/$C13,0)</f>
        <v>0</v>
      </c>
      <c r="F13" s="7">
        <f>IFERROR(COUNTIFS('Event stream steps'!$C$2:$C$331,$A13,'Event stream steps'!$D$2:$D$331,$B13,'Event stream steps'!$G$2:$G$331,F$6)/$C13,0)</f>
        <v>0</v>
      </c>
      <c r="G13" s="7">
        <f>IFERROR(COUNTIFS('Event stream steps'!$C$2:$C$331,$A13,'Event stream steps'!$D$2:$D$331,$B13,'Event stream steps'!$G$2:$G$331,G$6)/$C13,0)</f>
        <v>0</v>
      </c>
      <c r="H13" s="7">
        <f>IFERROR(COUNTIFS('Event stream steps'!$C$2:$C$331,$A13,'Event stream steps'!$D$2:$D$331,$B13,'Event stream steps'!$G$2:$G$331,H$6)/$C13,0)</f>
        <v>0</v>
      </c>
      <c r="I13" s="7">
        <f>IFERROR(COUNTIFS('Event stream steps'!$C$2:$C$331,$A13,'Event stream steps'!$D$2:$D$331,$B13,'Event stream steps'!$G$2:$G$331,I$6)/$C13,0)</f>
        <v>0</v>
      </c>
      <c r="J13" s="7">
        <f>IFERROR(COUNTIFS('Event stream steps'!$C$2:$C$331,$A13,'Event stream steps'!$D$2:$D$331,$B13,'Event stream steps'!$G$2:$G$331,J$6)/$C13,0)</f>
        <v>0</v>
      </c>
      <c r="K13" s="7">
        <f>IFERROR(COUNTIFS('Event stream steps'!$C$2:$C$331,$A13,'Event stream steps'!$D$2:$D$331,$B13,'Event stream steps'!$G$2:$G$331,K$6)/$C13,0)</f>
        <v>0</v>
      </c>
      <c r="M13" s="7">
        <f>IFERROR(COUNTIFS('Event stream steps'!$C$2:$C$331,$A13,'Event stream steps'!$D$2:$D$331,$B13,'Event stream steps'!$I$2:$I$331,M$6)/$C13,0)</f>
        <v>0</v>
      </c>
      <c r="N13" s="7">
        <f>IFERROR(COUNTIFS('Event stream steps'!$C$2:$C$331,$A13,'Event stream steps'!$D$2:$D$331,$B13,'Event stream steps'!$I$2:$I$331,N$6)/$C13,0)</f>
        <v>1</v>
      </c>
      <c r="P13" s="7">
        <f>IFERROR(COUNTIFS('Event stream steps'!$C$2:$C$331,$A13,'Event stream steps'!$D$2:$D$331,$B13,'Event stream steps'!$K$2:$K$331,P$6)/$C13,0)</f>
        <v>0</v>
      </c>
      <c r="Q13" s="7">
        <f>IFERROR(COUNTIFS('Event stream steps'!$C$2:$C$331,$A13,'Event stream steps'!$D$2:$D$331,$B13,'Event stream steps'!$K$2:$K$331,Q$6)/$C13,0)</f>
        <v>1</v>
      </c>
      <c r="R13" s="7">
        <f>IFERROR(COUNTIFS('Event stream steps'!$C$2:$C$331,$A13,'Event stream steps'!$D$2:$D$331,$B13,'Event stream steps'!$K$2:$K$331,R$6)/$C13,0)</f>
        <v>0</v>
      </c>
    </row>
    <row r="14" spans="1:18" ht="15" customHeight="1" x14ac:dyDescent="0.35">
      <c r="A14" s="8" t="s">
        <v>21</v>
      </c>
      <c r="B14" s="8" t="s">
        <v>29</v>
      </c>
      <c r="C14" s="9">
        <f>COUNTIFS('Event stream steps'!$C$2:$C$331,$A14)</f>
        <v>126</v>
      </c>
      <c r="D14" s="10">
        <f>IFERROR(COUNTIFS('Event stream steps'!$C$2:$C$331,$A14,'Event stream steps'!$G$2:$G$331,D$6)/$C14,0)</f>
        <v>1</v>
      </c>
      <c r="E14" s="10">
        <f>IFERROR(COUNTIFS('Event stream steps'!$C$2:$C$331,$A14,'Event stream steps'!$G$2:$G$331,E$6)/$C14,0)</f>
        <v>0</v>
      </c>
      <c r="F14" s="10">
        <f>IFERROR(COUNTIFS('Event stream steps'!$C$2:$C$331,$A14,'Event stream steps'!$G$2:$G$331,F$6)/$C14,0)</f>
        <v>0</v>
      </c>
      <c r="G14" s="10">
        <f>IFERROR(COUNTIFS('Event stream steps'!$C$2:$C$331,$A14,'Event stream steps'!$G$2:$G$331,G$6)/$C14,0)</f>
        <v>0</v>
      </c>
      <c r="H14" s="10">
        <f>IFERROR(COUNTIFS('Event stream steps'!$C$2:$C$331,$A14,'Event stream steps'!$G$2:$G$331,H$6)/$C14,0)</f>
        <v>0</v>
      </c>
      <c r="I14" s="10">
        <f>IFERROR(COUNTIFS('Event stream steps'!$C$2:$C$331,$A14,'Event stream steps'!$G$2:$G$331,I$6)/$C14,0)</f>
        <v>0</v>
      </c>
      <c r="J14" s="10">
        <f>IFERROR(COUNTIFS('Event stream steps'!$C$2:$C$331,$A14,'Event stream steps'!$G$2:$G$331,J$6)/$C14,0)</f>
        <v>0</v>
      </c>
      <c r="K14" s="10">
        <f>IFERROR(COUNTIFS('Event stream steps'!$C$2:$C$331,$A14,'Event stream steps'!$G$2:$G$331,K$6)/$C14,0)</f>
        <v>0</v>
      </c>
      <c r="M14" s="10">
        <f>IFERROR(COUNTIFS('Event stream steps'!$C$2:$C$331,$A14,'Event stream steps'!$I$2:$I$331,M$6)/$C14,0)</f>
        <v>2.3809523809523808E-2</v>
      </c>
      <c r="N14" s="10">
        <f>IFERROR(COUNTIFS('Event stream steps'!$C$2:$C$331,$A14,'Event stream steps'!$I$2:$I$331,N$6)/$C14,0)</f>
        <v>0.97619047619047616</v>
      </c>
      <c r="P14" s="10">
        <f>IFERROR(COUNTIFS('Event stream steps'!$C$2:$C$331,$A14,'Event stream steps'!$K$2:$K$331,P$6)/$C14,0)</f>
        <v>0.58730158730158732</v>
      </c>
      <c r="Q14" s="10">
        <f>IFERROR(COUNTIFS('Event stream steps'!$C$2:$C$331,$A14,'Event stream steps'!$K$2:$K$331,Q$6)/$C14,0)</f>
        <v>0.41269841269841268</v>
      </c>
      <c r="R14" s="10">
        <f>IFERROR(COUNTIFS('Event stream steps'!$C$2:$C$331,$A14,'Event stream steps'!$K$2:$K$331,R$6)/$C14,0)</f>
        <v>0</v>
      </c>
    </row>
    <row r="15" spans="1:18" ht="15" customHeight="1" x14ac:dyDescent="0.35">
      <c r="A15" s="5" t="s">
        <v>30</v>
      </c>
      <c r="B15" s="5" t="s">
        <v>22</v>
      </c>
      <c r="C15" s="6">
        <f>COUNTIFS('Event stream steps'!$C$2:$C$331,$A15,'Event stream steps'!$D$2:$D$331,$B15)</f>
        <v>32</v>
      </c>
      <c r="D15" s="7">
        <f>IFERROR(COUNTIFS('Event stream steps'!$C$2:$C$331,$A15,'Event stream steps'!$D$2:$D$331,$B15,'Event stream steps'!$G$2:$G$331,D$6)/$C15,0)</f>
        <v>1</v>
      </c>
      <c r="E15" s="7">
        <f>IFERROR(COUNTIFS('Event stream steps'!$C$2:$C$331,$A15,'Event stream steps'!$D$2:$D$331,$B15,'Event stream steps'!$G$2:$G$331,E$6)/$C15,0)</f>
        <v>0</v>
      </c>
      <c r="F15" s="7">
        <f>IFERROR(COUNTIFS('Event stream steps'!$C$2:$C$331,$A15,'Event stream steps'!$D$2:$D$331,$B15,'Event stream steps'!$G$2:$G$331,F$6)/$C15,0)</f>
        <v>0</v>
      </c>
      <c r="G15" s="7">
        <f>IFERROR(COUNTIFS('Event stream steps'!$C$2:$C$331,$A15,'Event stream steps'!$D$2:$D$331,$B15,'Event stream steps'!$G$2:$G$331,G$6)/$C15,0)</f>
        <v>0</v>
      </c>
      <c r="H15" s="7">
        <f>IFERROR(COUNTIFS('Event stream steps'!$C$2:$C$331,$A15,'Event stream steps'!$D$2:$D$331,$B15,'Event stream steps'!$G$2:$G$331,H$6)/$C15,0)</f>
        <v>0</v>
      </c>
      <c r="I15" s="7">
        <f>IFERROR(COUNTIFS('Event stream steps'!$C$2:$C$331,$A15,'Event stream steps'!$D$2:$D$331,$B15,'Event stream steps'!$G$2:$G$331,I$6)/$C15,0)</f>
        <v>0</v>
      </c>
      <c r="J15" s="7">
        <f>IFERROR(COUNTIFS('Event stream steps'!$C$2:$C$331,$A15,'Event stream steps'!$D$2:$D$331,$B15,'Event stream steps'!$G$2:$G$331,J$6)/$C15,0)</f>
        <v>0</v>
      </c>
      <c r="K15" s="7">
        <f>IFERROR(COUNTIFS('Event stream steps'!$C$2:$C$331,$A15,'Event stream steps'!$D$2:$D$331,$B15,'Event stream steps'!$G$2:$G$331,K$6)/$C15,0)</f>
        <v>0</v>
      </c>
      <c r="M15" s="7">
        <f>IFERROR(COUNTIFS('Event stream steps'!$C$2:$C$331,$A15,'Event stream steps'!$D$2:$D$331,$B15,'Event stream steps'!$I$2:$I$331,M$6)/$C15,0)</f>
        <v>0</v>
      </c>
      <c r="N15" s="7">
        <f>IFERROR(COUNTIFS('Event stream steps'!$C$2:$C$331,$A15,'Event stream steps'!$D$2:$D$331,$B15,'Event stream steps'!$I$2:$I$331,N$6)/$C15,0)</f>
        <v>1</v>
      </c>
      <c r="P15" s="7">
        <f>IFERROR(COUNTIFS('Event stream steps'!$C$2:$C$331,$A15,'Event stream steps'!$D$2:$D$331,$B15,'Event stream steps'!$K$2:$K$331,P$6)/$C15,0)</f>
        <v>0.78125</v>
      </c>
      <c r="Q15" s="7">
        <f>IFERROR(COUNTIFS('Event stream steps'!$C$2:$C$331,$A15,'Event stream steps'!$D$2:$D$331,$B15,'Event stream steps'!$K$2:$K$331,Q$6)/$C15,0)</f>
        <v>0.21875</v>
      </c>
      <c r="R15" s="7">
        <f>IFERROR(COUNTIFS('Event stream steps'!$C$2:$C$331,$A15,'Event stream steps'!$D$2:$D$331,$B15,'Event stream steps'!$K$2:$K$331,R$6)/$C15,0)</f>
        <v>0</v>
      </c>
    </row>
    <row r="16" spans="1:18" ht="15" customHeight="1" x14ac:dyDescent="0.35">
      <c r="A16" s="5" t="s">
        <v>30</v>
      </c>
      <c r="B16" s="5" t="s">
        <v>23</v>
      </c>
      <c r="C16" s="6">
        <f>COUNTIFS('Event stream steps'!$C$2:$C$331,$A16,'Event stream steps'!$D$2:$D$331,$B16)</f>
        <v>45</v>
      </c>
      <c r="D16" s="7">
        <f>IFERROR(COUNTIFS('Event stream steps'!$C$2:$C$331,$A16,'Event stream steps'!$D$2:$D$331,$B16,'Event stream steps'!$G$2:$G$331,D$6)/$C16,0)</f>
        <v>1</v>
      </c>
      <c r="E16" s="7">
        <f>IFERROR(COUNTIFS('Event stream steps'!$C$2:$C$331,$A16,'Event stream steps'!$D$2:$D$331,$B16,'Event stream steps'!$G$2:$G$331,E$6)/$C16,0)</f>
        <v>0</v>
      </c>
      <c r="F16" s="7">
        <f>IFERROR(COUNTIFS('Event stream steps'!$C$2:$C$331,$A16,'Event stream steps'!$D$2:$D$331,$B16,'Event stream steps'!$G$2:$G$331,F$6)/$C16,0)</f>
        <v>0</v>
      </c>
      <c r="G16" s="7">
        <f>IFERROR(COUNTIFS('Event stream steps'!$C$2:$C$331,$A16,'Event stream steps'!$D$2:$D$331,$B16,'Event stream steps'!$G$2:$G$331,G$6)/$C16,0)</f>
        <v>0</v>
      </c>
      <c r="H16" s="7">
        <f>IFERROR(COUNTIFS('Event stream steps'!$C$2:$C$331,$A16,'Event stream steps'!$D$2:$D$331,$B16,'Event stream steps'!$G$2:$G$331,H$6)/$C16,0)</f>
        <v>0</v>
      </c>
      <c r="I16" s="7">
        <f>IFERROR(COUNTIFS('Event stream steps'!$C$2:$C$331,$A16,'Event stream steps'!$D$2:$D$331,$B16,'Event stream steps'!$G$2:$G$331,I$6)/$C16,0)</f>
        <v>0</v>
      </c>
      <c r="J16" s="7">
        <f>IFERROR(COUNTIFS('Event stream steps'!$C$2:$C$331,$A16,'Event stream steps'!$D$2:$D$331,$B16,'Event stream steps'!$G$2:$G$331,J$6)/$C16,0)</f>
        <v>0</v>
      </c>
      <c r="K16" s="7">
        <f>IFERROR(COUNTIFS('Event stream steps'!$C$2:$C$331,$A16,'Event stream steps'!$D$2:$D$331,$B16,'Event stream steps'!$G$2:$G$331,K$6)/$C16,0)</f>
        <v>0</v>
      </c>
      <c r="M16" s="7">
        <f>IFERROR(COUNTIFS('Event stream steps'!$C$2:$C$331,$A16,'Event stream steps'!$D$2:$D$331,$B16,'Event stream steps'!$I$2:$I$331,M$6)/$C16,0)</f>
        <v>0</v>
      </c>
      <c r="N16" s="7">
        <f>IFERROR(COUNTIFS('Event stream steps'!$C$2:$C$331,$A16,'Event stream steps'!$D$2:$D$331,$B16,'Event stream steps'!$I$2:$I$331,N$6)/$C16,0)</f>
        <v>1</v>
      </c>
      <c r="P16" s="7">
        <f>IFERROR(COUNTIFS('Event stream steps'!$C$2:$C$331,$A16,'Event stream steps'!$D$2:$D$331,$B16,'Event stream steps'!$K$2:$K$331,P$6)/$C16,0)</f>
        <v>0.57777777777777772</v>
      </c>
      <c r="Q16" s="7">
        <f>IFERROR(COUNTIFS('Event stream steps'!$C$2:$C$331,$A16,'Event stream steps'!$D$2:$D$331,$B16,'Event stream steps'!$K$2:$K$331,Q$6)/$C16,0)</f>
        <v>0.42222222222222222</v>
      </c>
      <c r="R16" s="7">
        <f>IFERROR(COUNTIFS('Event stream steps'!$C$2:$C$331,$A16,'Event stream steps'!$D$2:$D$331,$B16,'Event stream steps'!$K$2:$K$331,R$6)/$C16,0)</f>
        <v>0</v>
      </c>
    </row>
    <row r="17" spans="1:18" ht="15" customHeight="1" x14ac:dyDescent="0.35">
      <c r="A17" s="5" t="s">
        <v>30</v>
      </c>
      <c r="B17" s="5" t="s">
        <v>24</v>
      </c>
      <c r="C17" s="6">
        <f>COUNTIFS('Event stream steps'!$C$2:$C$331,$A17,'Event stream steps'!$D$2:$D$331,$B17)</f>
        <v>18</v>
      </c>
      <c r="D17" s="7">
        <f>IFERROR(COUNTIFS('Event stream steps'!$C$2:$C$331,$A17,'Event stream steps'!$D$2:$D$331,$B17,'Event stream steps'!$G$2:$G$331,D$6)/$C17,0)</f>
        <v>1</v>
      </c>
      <c r="E17" s="7">
        <f>IFERROR(COUNTIFS('Event stream steps'!$C$2:$C$331,$A17,'Event stream steps'!$D$2:$D$331,$B17,'Event stream steps'!$G$2:$G$331,E$6)/$C17,0)</f>
        <v>0</v>
      </c>
      <c r="F17" s="7">
        <f>IFERROR(COUNTIFS('Event stream steps'!$C$2:$C$331,$A17,'Event stream steps'!$D$2:$D$331,$B17,'Event stream steps'!$G$2:$G$331,F$6)/$C17,0)</f>
        <v>0</v>
      </c>
      <c r="G17" s="7">
        <f>IFERROR(COUNTIFS('Event stream steps'!$C$2:$C$331,$A17,'Event stream steps'!$D$2:$D$331,$B17,'Event stream steps'!$G$2:$G$331,G$6)/$C17,0)</f>
        <v>0</v>
      </c>
      <c r="H17" s="7">
        <f>IFERROR(COUNTIFS('Event stream steps'!$C$2:$C$331,$A17,'Event stream steps'!$D$2:$D$331,$B17,'Event stream steps'!$G$2:$G$331,H$6)/$C17,0)</f>
        <v>0</v>
      </c>
      <c r="I17" s="7">
        <f>IFERROR(COUNTIFS('Event stream steps'!$C$2:$C$331,$A17,'Event stream steps'!$D$2:$D$331,$B17,'Event stream steps'!$G$2:$G$331,I$6)/$C17,0)</f>
        <v>0</v>
      </c>
      <c r="J17" s="7">
        <f>IFERROR(COUNTIFS('Event stream steps'!$C$2:$C$331,$A17,'Event stream steps'!$D$2:$D$331,$B17,'Event stream steps'!$G$2:$G$331,J$6)/$C17,0)</f>
        <v>0</v>
      </c>
      <c r="K17" s="7">
        <f>IFERROR(COUNTIFS('Event stream steps'!$C$2:$C$331,$A17,'Event stream steps'!$D$2:$D$331,$B17,'Event stream steps'!$G$2:$G$331,K$6)/$C17,0)</f>
        <v>0</v>
      </c>
      <c r="M17" s="7">
        <f>IFERROR(COUNTIFS('Event stream steps'!$C$2:$C$331,$A17,'Event stream steps'!$D$2:$D$331,$B17,'Event stream steps'!$I$2:$I$331,M$6)/$C17,0)</f>
        <v>0</v>
      </c>
      <c r="N17" s="7">
        <f>IFERROR(COUNTIFS('Event stream steps'!$C$2:$C$331,$A17,'Event stream steps'!$D$2:$D$331,$B17,'Event stream steps'!$I$2:$I$331,N$6)/$C17,0)</f>
        <v>1</v>
      </c>
      <c r="P17" s="7">
        <f>IFERROR(COUNTIFS('Event stream steps'!$C$2:$C$331,$A17,'Event stream steps'!$D$2:$D$331,$B17,'Event stream steps'!$K$2:$K$331,P$6)/$C17,0)</f>
        <v>0.61111111111111116</v>
      </c>
      <c r="Q17" s="7">
        <f>IFERROR(COUNTIFS('Event stream steps'!$C$2:$C$331,$A17,'Event stream steps'!$D$2:$D$331,$B17,'Event stream steps'!$K$2:$K$331,Q$6)/$C17,0)</f>
        <v>0.3888888888888889</v>
      </c>
      <c r="R17" s="7">
        <f>IFERROR(COUNTIFS('Event stream steps'!$C$2:$C$331,$A17,'Event stream steps'!$D$2:$D$331,$B17,'Event stream steps'!$K$2:$K$331,R$6)/$C17,0)</f>
        <v>0</v>
      </c>
    </row>
    <row r="18" spans="1:18" ht="15" customHeight="1" x14ac:dyDescent="0.35">
      <c r="A18" s="5" t="s">
        <v>30</v>
      </c>
      <c r="B18" s="5" t="s">
        <v>25</v>
      </c>
      <c r="C18" s="6">
        <f>COUNTIFS('Event stream steps'!$C$2:$C$331,$A18,'Event stream steps'!$D$2:$D$331,$B18)</f>
        <v>7</v>
      </c>
      <c r="D18" s="7">
        <f>IFERROR(COUNTIFS('Event stream steps'!$C$2:$C$331,$A18,'Event stream steps'!$D$2:$D$331,$B18,'Event stream steps'!$G$2:$G$331,D$6)/$C18,0)</f>
        <v>1</v>
      </c>
      <c r="E18" s="7">
        <f>IFERROR(COUNTIFS('Event stream steps'!$C$2:$C$331,$A18,'Event stream steps'!$D$2:$D$331,$B18,'Event stream steps'!$G$2:$G$331,E$6)/$C18,0)</f>
        <v>0</v>
      </c>
      <c r="F18" s="7">
        <f>IFERROR(COUNTIFS('Event stream steps'!$C$2:$C$331,$A18,'Event stream steps'!$D$2:$D$331,$B18,'Event stream steps'!$G$2:$G$331,F$6)/$C18,0)</f>
        <v>0</v>
      </c>
      <c r="G18" s="7">
        <f>IFERROR(COUNTIFS('Event stream steps'!$C$2:$C$331,$A18,'Event stream steps'!$D$2:$D$331,$B18,'Event stream steps'!$G$2:$G$331,G$6)/$C18,0)</f>
        <v>0</v>
      </c>
      <c r="H18" s="7">
        <f>IFERROR(COUNTIFS('Event stream steps'!$C$2:$C$331,$A18,'Event stream steps'!$D$2:$D$331,$B18,'Event stream steps'!$G$2:$G$331,H$6)/$C18,0)</f>
        <v>0</v>
      </c>
      <c r="I18" s="7">
        <f>IFERROR(COUNTIFS('Event stream steps'!$C$2:$C$331,$A18,'Event stream steps'!$D$2:$D$331,$B18,'Event stream steps'!$G$2:$G$331,I$6)/$C18,0)</f>
        <v>0</v>
      </c>
      <c r="J18" s="7">
        <f>IFERROR(COUNTIFS('Event stream steps'!$C$2:$C$331,$A18,'Event stream steps'!$D$2:$D$331,$B18,'Event stream steps'!$G$2:$G$331,J$6)/$C18,0)</f>
        <v>0</v>
      </c>
      <c r="K18" s="7">
        <f>IFERROR(COUNTIFS('Event stream steps'!$C$2:$C$331,$A18,'Event stream steps'!$D$2:$D$331,$B18,'Event stream steps'!$G$2:$G$331,K$6)/$C18,0)</f>
        <v>0</v>
      </c>
      <c r="M18" s="7">
        <f>IFERROR(COUNTIFS('Event stream steps'!$C$2:$C$331,$A18,'Event stream steps'!$D$2:$D$331,$B18,'Event stream steps'!$I$2:$I$331,M$6)/$C18,0)</f>
        <v>0.14285714285714285</v>
      </c>
      <c r="N18" s="7">
        <f>IFERROR(COUNTIFS('Event stream steps'!$C$2:$C$331,$A18,'Event stream steps'!$D$2:$D$331,$B18,'Event stream steps'!$I$2:$I$331,N$6)/$C18,0)</f>
        <v>0.8571428571428571</v>
      </c>
      <c r="P18" s="7">
        <f>IFERROR(COUNTIFS('Event stream steps'!$C$2:$C$331,$A18,'Event stream steps'!$D$2:$D$331,$B18,'Event stream steps'!$K$2:$K$331,P$6)/$C18,0)</f>
        <v>1</v>
      </c>
      <c r="Q18" s="7">
        <f>IFERROR(COUNTIFS('Event stream steps'!$C$2:$C$331,$A18,'Event stream steps'!$D$2:$D$331,$B18,'Event stream steps'!$K$2:$K$331,Q$6)/$C18,0)</f>
        <v>0</v>
      </c>
      <c r="R18" s="7">
        <f>IFERROR(COUNTIFS('Event stream steps'!$C$2:$C$331,$A18,'Event stream steps'!$D$2:$D$331,$B18,'Event stream steps'!$K$2:$K$331,R$6)/$C18,0)</f>
        <v>0</v>
      </c>
    </row>
    <row r="19" spans="1:18" ht="15" customHeight="1" x14ac:dyDescent="0.35">
      <c r="A19" s="5" t="s">
        <v>30</v>
      </c>
      <c r="B19" s="5" t="s">
        <v>26</v>
      </c>
      <c r="C19" s="6">
        <f>COUNTIFS('Event stream steps'!$C$2:$C$331,$A19,'Event stream steps'!$D$2:$D$331,$B19)</f>
        <v>5</v>
      </c>
      <c r="D19" s="7">
        <f>IFERROR(COUNTIFS('Event stream steps'!$C$2:$C$331,$A19,'Event stream steps'!$D$2:$D$331,$B19,'Event stream steps'!$G$2:$G$331,D$6)/$C19,0)</f>
        <v>1</v>
      </c>
      <c r="E19" s="7">
        <f>IFERROR(COUNTIFS('Event stream steps'!$C$2:$C$331,$A19,'Event stream steps'!$D$2:$D$331,$B19,'Event stream steps'!$G$2:$G$331,E$6)/$C19,0)</f>
        <v>0</v>
      </c>
      <c r="F19" s="7">
        <f>IFERROR(COUNTIFS('Event stream steps'!$C$2:$C$331,$A19,'Event stream steps'!$D$2:$D$331,$B19,'Event stream steps'!$G$2:$G$331,F$6)/$C19,0)</f>
        <v>0</v>
      </c>
      <c r="G19" s="7">
        <f>IFERROR(COUNTIFS('Event stream steps'!$C$2:$C$331,$A19,'Event stream steps'!$D$2:$D$331,$B19,'Event stream steps'!$G$2:$G$331,G$6)/$C19,0)</f>
        <v>0</v>
      </c>
      <c r="H19" s="7">
        <f>IFERROR(COUNTIFS('Event stream steps'!$C$2:$C$331,$A19,'Event stream steps'!$D$2:$D$331,$B19,'Event stream steps'!$G$2:$G$331,H$6)/$C19,0)</f>
        <v>0</v>
      </c>
      <c r="I19" s="7">
        <f>IFERROR(COUNTIFS('Event stream steps'!$C$2:$C$331,$A19,'Event stream steps'!$D$2:$D$331,$B19,'Event stream steps'!$G$2:$G$331,I$6)/$C19,0)</f>
        <v>0</v>
      </c>
      <c r="J19" s="7">
        <f>IFERROR(COUNTIFS('Event stream steps'!$C$2:$C$331,$A19,'Event stream steps'!$D$2:$D$331,$B19,'Event stream steps'!$G$2:$G$331,J$6)/$C19,0)</f>
        <v>0</v>
      </c>
      <c r="K19" s="7">
        <f>IFERROR(COUNTIFS('Event stream steps'!$C$2:$C$331,$A19,'Event stream steps'!$D$2:$D$331,$B19,'Event stream steps'!$G$2:$G$331,K$6)/$C19,0)</f>
        <v>0</v>
      </c>
      <c r="M19" s="7">
        <f>IFERROR(COUNTIFS('Event stream steps'!$C$2:$C$331,$A19,'Event stream steps'!$D$2:$D$331,$B19,'Event stream steps'!$I$2:$I$331,M$6)/$C19,0)</f>
        <v>0</v>
      </c>
      <c r="N19" s="7">
        <f>IFERROR(COUNTIFS('Event stream steps'!$C$2:$C$331,$A19,'Event stream steps'!$D$2:$D$331,$B19,'Event stream steps'!$I$2:$I$331,N$6)/$C19,0)</f>
        <v>1</v>
      </c>
      <c r="P19" s="7">
        <f>IFERROR(COUNTIFS('Event stream steps'!$C$2:$C$331,$A19,'Event stream steps'!$D$2:$D$331,$B19,'Event stream steps'!$K$2:$K$331,P$6)/$C19,0)</f>
        <v>1</v>
      </c>
      <c r="Q19" s="7">
        <f>IFERROR(COUNTIFS('Event stream steps'!$C$2:$C$331,$A19,'Event stream steps'!$D$2:$D$331,$B19,'Event stream steps'!$K$2:$K$331,Q$6)/$C19,0)</f>
        <v>0</v>
      </c>
      <c r="R19" s="7">
        <f>IFERROR(COUNTIFS('Event stream steps'!$C$2:$C$331,$A19,'Event stream steps'!$D$2:$D$331,$B19,'Event stream steps'!$K$2:$K$331,R$6)/$C19,0)</f>
        <v>0</v>
      </c>
    </row>
    <row r="20" spans="1:18" ht="15" customHeight="1" x14ac:dyDescent="0.35">
      <c r="A20" s="5" t="s">
        <v>30</v>
      </c>
      <c r="B20" s="5" t="s">
        <v>27</v>
      </c>
      <c r="C20" s="6">
        <f>COUNTIFS('Event stream steps'!$C$2:$C$331,$A20,'Event stream steps'!$D$2:$D$331,$B20)</f>
        <v>4</v>
      </c>
      <c r="D20" s="7">
        <f>IFERROR(COUNTIFS('Event stream steps'!$C$2:$C$331,$A20,'Event stream steps'!$D$2:$D$331,$B20,'Event stream steps'!$G$2:$G$331,D$6)/$C20,0)</f>
        <v>1</v>
      </c>
      <c r="E20" s="7">
        <f>IFERROR(COUNTIFS('Event stream steps'!$C$2:$C$331,$A20,'Event stream steps'!$D$2:$D$331,$B20,'Event stream steps'!$G$2:$G$331,E$6)/$C20,0)</f>
        <v>0</v>
      </c>
      <c r="F20" s="7">
        <f>IFERROR(COUNTIFS('Event stream steps'!$C$2:$C$331,$A20,'Event stream steps'!$D$2:$D$331,$B20,'Event stream steps'!$G$2:$G$331,F$6)/$C20,0)</f>
        <v>0</v>
      </c>
      <c r="G20" s="7">
        <f>IFERROR(COUNTIFS('Event stream steps'!$C$2:$C$331,$A20,'Event stream steps'!$D$2:$D$331,$B20,'Event stream steps'!$G$2:$G$331,G$6)/$C20,0)</f>
        <v>0</v>
      </c>
      <c r="H20" s="7">
        <f>IFERROR(COUNTIFS('Event stream steps'!$C$2:$C$331,$A20,'Event stream steps'!$D$2:$D$331,$B20,'Event stream steps'!$G$2:$G$331,H$6)/$C20,0)</f>
        <v>0</v>
      </c>
      <c r="I20" s="7">
        <f>IFERROR(COUNTIFS('Event stream steps'!$C$2:$C$331,$A20,'Event stream steps'!$D$2:$D$331,$B20,'Event stream steps'!$G$2:$G$331,I$6)/$C20,0)</f>
        <v>0</v>
      </c>
      <c r="J20" s="7">
        <f>IFERROR(COUNTIFS('Event stream steps'!$C$2:$C$331,$A20,'Event stream steps'!$D$2:$D$331,$B20,'Event stream steps'!$G$2:$G$331,J$6)/$C20,0)</f>
        <v>0</v>
      </c>
      <c r="K20" s="7">
        <f>IFERROR(COUNTIFS('Event stream steps'!$C$2:$C$331,$A20,'Event stream steps'!$D$2:$D$331,$B20,'Event stream steps'!$G$2:$G$331,K$6)/$C20,0)</f>
        <v>0</v>
      </c>
      <c r="M20" s="7">
        <f>IFERROR(COUNTIFS('Event stream steps'!$C$2:$C$331,$A20,'Event stream steps'!$D$2:$D$331,$B20,'Event stream steps'!$I$2:$I$331,M$6)/$C20,0)</f>
        <v>0</v>
      </c>
      <c r="N20" s="7">
        <f>IFERROR(COUNTIFS('Event stream steps'!$C$2:$C$331,$A20,'Event stream steps'!$D$2:$D$331,$B20,'Event stream steps'!$I$2:$I$331,N$6)/$C20,0)</f>
        <v>1</v>
      </c>
      <c r="P20" s="7">
        <f>IFERROR(COUNTIFS('Event stream steps'!$C$2:$C$331,$A20,'Event stream steps'!$D$2:$D$331,$B20,'Event stream steps'!$K$2:$K$331,P$6)/$C20,0)</f>
        <v>0.75</v>
      </c>
      <c r="Q20" s="7">
        <f>IFERROR(COUNTIFS('Event stream steps'!$C$2:$C$331,$A20,'Event stream steps'!$D$2:$D$331,$B20,'Event stream steps'!$K$2:$K$331,Q$6)/$C20,0)</f>
        <v>0.25</v>
      </c>
      <c r="R20" s="7">
        <f>IFERROR(COUNTIFS('Event stream steps'!$C$2:$C$331,$A20,'Event stream steps'!$D$2:$D$331,$B20,'Event stream steps'!$K$2:$K$331,R$6)/$C20,0)</f>
        <v>0</v>
      </c>
    </row>
    <row r="21" spans="1:18" ht="15" customHeight="1" x14ac:dyDescent="0.35">
      <c r="A21" s="5" t="s">
        <v>30</v>
      </c>
      <c r="B21" s="5" t="s">
        <v>28</v>
      </c>
      <c r="C21" s="6">
        <f>COUNTIFS('Event stream steps'!$C$2:$C$331,$A21,'Event stream steps'!$D$2:$D$331,$B21)</f>
        <v>5</v>
      </c>
      <c r="D21" s="7">
        <f>IFERROR(COUNTIFS('Event stream steps'!$C$2:$C$331,$A21,'Event stream steps'!$D$2:$D$331,$B21,'Event stream steps'!$G$2:$G$331,D$6)/$C21,0)</f>
        <v>1</v>
      </c>
      <c r="E21" s="7">
        <f>IFERROR(COUNTIFS('Event stream steps'!$C$2:$C$331,$A21,'Event stream steps'!$D$2:$D$331,$B21,'Event stream steps'!$G$2:$G$331,E$6)/$C21,0)</f>
        <v>0</v>
      </c>
      <c r="F21" s="7">
        <f>IFERROR(COUNTIFS('Event stream steps'!$C$2:$C$331,$A21,'Event stream steps'!$D$2:$D$331,$B21,'Event stream steps'!$G$2:$G$331,F$6)/$C21,0)</f>
        <v>0</v>
      </c>
      <c r="G21" s="7">
        <f>IFERROR(COUNTIFS('Event stream steps'!$C$2:$C$331,$A21,'Event stream steps'!$D$2:$D$331,$B21,'Event stream steps'!$G$2:$G$331,G$6)/$C21,0)</f>
        <v>0</v>
      </c>
      <c r="H21" s="7">
        <f>IFERROR(COUNTIFS('Event stream steps'!$C$2:$C$331,$A21,'Event stream steps'!$D$2:$D$331,$B21,'Event stream steps'!$G$2:$G$331,H$6)/$C21,0)</f>
        <v>0</v>
      </c>
      <c r="I21" s="7">
        <f>IFERROR(COUNTIFS('Event stream steps'!$C$2:$C$331,$A21,'Event stream steps'!$D$2:$D$331,$B21,'Event stream steps'!$G$2:$G$331,I$6)/$C21,0)</f>
        <v>0</v>
      </c>
      <c r="J21" s="7">
        <f>IFERROR(COUNTIFS('Event stream steps'!$C$2:$C$331,$A21,'Event stream steps'!$D$2:$D$331,$B21,'Event stream steps'!$G$2:$G$331,J$6)/$C21,0)</f>
        <v>0</v>
      </c>
      <c r="K21" s="7">
        <f>IFERROR(COUNTIFS('Event stream steps'!$C$2:$C$331,$A21,'Event stream steps'!$D$2:$D$331,$B21,'Event stream steps'!$G$2:$G$331,K$6)/$C21,0)</f>
        <v>0</v>
      </c>
      <c r="M21" s="7">
        <f>IFERROR(COUNTIFS('Event stream steps'!$C$2:$C$331,$A21,'Event stream steps'!$D$2:$D$331,$B21,'Event stream steps'!$I$2:$I$331,M$6)/$C21,0)</f>
        <v>0</v>
      </c>
      <c r="N21" s="7">
        <f>IFERROR(COUNTIFS('Event stream steps'!$C$2:$C$331,$A21,'Event stream steps'!$D$2:$D$331,$B21,'Event stream steps'!$I$2:$I$331,N$6)/$C21,0)</f>
        <v>1</v>
      </c>
      <c r="P21" s="7">
        <f>IFERROR(COUNTIFS('Event stream steps'!$C$2:$C$331,$A21,'Event stream steps'!$D$2:$D$331,$B21,'Event stream steps'!$K$2:$K$331,P$6)/$C21,0)</f>
        <v>0</v>
      </c>
      <c r="Q21" s="7">
        <f>IFERROR(COUNTIFS('Event stream steps'!$C$2:$C$331,$A21,'Event stream steps'!$D$2:$D$331,$B21,'Event stream steps'!$K$2:$K$331,Q$6)/$C21,0)</f>
        <v>1</v>
      </c>
      <c r="R21" s="7">
        <f>IFERROR(COUNTIFS('Event stream steps'!$C$2:$C$331,$A21,'Event stream steps'!$D$2:$D$331,$B21,'Event stream steps'!$K$2:$K$331,R$6)/$C21,0)</f>
        <v>0</v>
      </c>
    </row>
    <row r="22" spans="1:18" ht="15" customHeight="1" x14ac:dyDescent="0.35">
      <c r="A22" s="8" t="s">
        <v>30</v>
      </c>
      <c r="B22" s="8" t="s">
        <v>29</v>
      </c>
      <c r="C22" s="9">
        <f>COUNTIFS('Event stream steps'!$C$2:$C$331,$A22)</f>
        <v>116</v>
      </c>
      <c r="D22" s="10">
        <f>IFERROR(COUNTIFS('Event stream steps'!$C$2:$C$331,$A22,'Event stream steps'!$G$2:$G$331,D$6)/$C22,0)</f>
        <v>1</v>
      </c>
      <c r="E22" s="10">
        <f>IFERROR(COUNTIFS('Event stream steps'!$C$2:$C$331,$A22,'Event stream steps'!$G$2:$G$331,E$6)/$C22,0)</f>
        <v>0</v>
      </c>
      <c r="F22" s="10">
        <f>IFERROR(COUNTIFS('Event stream steps'!$C$2:$C$331,$A22,'Event stream steps'!$G$2:$G$331,F$6)/$C22,0)</f>
        <v>0</v>
      </c>
      <c r="G22" s="10">
        <f>IFERROR(COUNTIFS('Event stream steps'!$C$2:$C$331,$A22,'Event stream steps'!$G$2:$G$331,G$6)/$C22,0)</f>
        <v>0</v>
      </c>
      <c r="H22" s="10">
        <f>IFERROR(COUNTIFS('Event stream steps'!$C$2:$C$331,$A22,'Event stream steps'!$G$2:$G$331,H$6)/$C22,0)</f>
        <v>0</v>
      </c>
      <c r="I22" s="10">
        <f>IFERROR(COUNTIFS('Event stream steps'!$C$2:$C$331,$A22,'Event stream steps'!$G$2:$G$331,I$6)/$C22,0)</f>
        <v>0</v>
      </c>
      <c r="J22" s="10">
        <f>IFERROR(COUNTIFS('Event stream steps'!$C$2:$C$331,$A22,'Event stream steps'!$G$2:$G$331,J$6)/$C22,0)</f>
        <v>0</v>
      </c>
      <c r="K22" s="10">
        <f>IFERROR(COUNTIFS('Event stream steps'!$C$2:$C$331,$A22,'Event stream steps'!$G$2:$G$331,K$6)/$C22,0)</f>
        <v>0</v>
      </c>
      <c r="M22" s="10">
        <f>IFERROR(COUNTIFS('Event stream steps'!$C$2:$C$331,$A22,'Event stream steps'!$I$2:$I$331,M$6)/$C22,0)</f>
        <v>8.6206896551724137E-3</v>
      </c>
      <c r="N22" s="10">
        <f>IFERROR(COUNTIFS('Event stream steps'!$C$2:$C$331,$A22,'Event stream steps'!$I$2:$I$331,N$6)/$C22,0)</f>
        <v>0.99137931034482762</v>
      </c>
      <c r="P22" s="10">
        <f>IFERROR(COUNTIFS('Event stream steps'!$C$2:$C$331,$A22,'Event stream steps'!$K$2:$K$331,P$6)/$C22,0)</f>
        <v>0.66379310344827591</v>
      </c>
      <c r="Q22" s="10">
        <f>IFERROR(COUNTIFS('Event stream steps'!$C$2:$C$331,$A22,'Event stream steps'!$K$2:$K$331,Q$6)/$C22,0)</f>
        <v>0.33620689655172414</v>
      </c>
      <c r="R22" s="10">
        <f>IFERROR(COUNTIFS('Event stream steps'!$C$2:$C$331,$A22,'Event stream steps'!$K$2:$K$331,R$6)/$C22,0)</f>
        <v>0</v>
      </c>
    </row>
    <row r="23" spans="1:18" ht="15" customHeight="1" x14ac:dyDescent="0.35">
      <c r="A23" s="5" t="s">
        <v>31</v>
      </c>
      <c r="B23" s="5" t="s">
        <v>22</v>
      </c>
      <c r="C23" s="6">
        <f>COUNTIFS('Event stream steps'!$C$2:$C$331,$A23,'Event stream steps'!$D$2:$D$331,$B23)</f>
        <v>19</v>
      </c>
      <c r="D23" s="7">
        <f>IFERROR(COUNTIFS('Event stream steps'!$C$2:$C$331,$A23,'Event stream steps'!$D$2:$D$331,$B23,'Event stream steps'!$G$2:$G$331,D$6)/$C23,0)</f>
        <v>1</v>
      </c>
      <c r="E23" s="7">
        <f>IFERROR(COUNTIFS('Event stream steps'!$C$2:$C$331,$A23,'Event stream steps'!$D$2:$D$331,$B23,'Event stream steps'!$G$2:$G$331,E$6)/$C23,0)</f>
        <v>0</v>
      </c>
      <c r="F23" s="7">
        <f>IFERROR(COUNTIFS('Event stream steps'!$C$2:$C$331,$A23,'Event stream steps'!$D$2:$D$331,$B23,'Event stream steps'!$G$2:$G$331,F$6)/$C23,0)</f>
        <v>0</v>
      </c>
      <c r="G23" s="7">
        <f>IFERROR(COUNTIFS('Event stream steps'!$C$2:$C$331,$A23,'Event stream steps'!$D$2:$D$331,$B23,'Event stream steps'!$G$2:$G$331,G$6)/$C23,0)</f>
        <v>0</v>
      </c>
      <c r="H23" s="7">
        <f>IFERROR(COUNTIFS('Event stream steps'!$C$2:$C$331,$A23,'Event stream steps'!$D$2:$D$331,$B23,'Event stream steps'!$G$2:$G$331,H$6)/$C23,0)</f>
        <v>0</v>
      </c>
      <c r="I23" s="7">
        <f>IFERROR(COUNTIFS('Event stream steps'!$C$2:$C$331,$A23,'Event stream steps'!$D$2:$D$331,$B23,'Event stream steps'!$G$2:$G$331,I$6)/$C23,0)</f>
        <v>0</v>
      </c>
      <c r="J23" s="7">
        <f>IFERROR(COUNTIFS('Event stream steps'!$C$2:$C$331,$A23,'Event stream steps'!$D$2:$D$331,$B23,'Event stream steps'!$G$2:$G$331,J$6)/$C23,0)</f>
        <v>0</v>
      </c>
      <c r="K23" s="7">
        <f>IFERROR(COUNTIFS('Event stream steps'!$C$2:$C$331,$A23,'Event stream steps'!$D$2:$D$331,$B23,'Event stream steps'!$G$2:$G$331,K$6)/$C23,0)</f>
        <v>0</v>
      </c>
      <c r="M23" s="7">
        <f>IFERROR(COUNTIFS('Event stream steps'!$C$2:$C$331,$A23,'Event stream steps'!$D$2:$D$331,$B23,'Event stream steps'!$I$2:$I$331,M$6)/$C23,0)</f>
        <v>0</v>
      </c>
      <c r="N23" s="7">
        <f>IFERROR(COUNTIFS('Event stream steps'!$C$2:$C$331,$A23,'Event stream steps'!$D$2:$D$331,$B23,'Event stream steps'!$I$2:$I$331,N$6)/$C23,0)</f>
        <v>1</v>
      </c>
      <c r="P23" s="7">
        <f>IFERROR(COUNTIFS('Event stream steps'!$C$2:$C$331,$A23,'Event stream steps'!$D$2:$D$331,$B23,'Event stream steps'!$K$2:$K$331,P$6)/$C23,0)</f>
        <v>0.78947368421052633</v>
      </c>
      <c r="Q23" s="7">
        <f>IFERROR(COUNTIFS('Event stream steps'!$C$2:$C$331,$A23,'Event stream steps'!$D$2:$D$331,$B23,'Event stream steps'!$K$2:$K$331,Q$6)/$C23,0)</f>
        <v>0.21052631578947367</v>
      </c>
      <c r="R23" s="7">
        <f>IFERROR(COUNTIFS('Event stream steps'!$C$2:$C$331,$A23,'Event stream steps'!$D$2:$D$331,$B23,'Event stream steps'!$K$2:$K$331,R$6)/$C23,0)</f>
        <v>0</v>
      </c>
    </row>
    <row r="24" spans="1:18" ht="15" customHeight="1" x14ac:dyDescent="0.35">
      <c r="A24" s="5" t="s">
        <v>31</v>
      </c>
      <c r="B24" s="5" t="s">
        <v>23</v>
      </c>
      <c r="C24" s="6">
        <f>COUNTIFS('Event stream steps'!$C$2:$C$331,$A24,'Event stream steps'!$D$2:$D$331,$B24)</f>
        <v>27</v>
      </c>
      <c r="D24" s="7">
        <f>IFERROR(COUNTIFS('Event stream steps'!$C$2:$C$331,$A24,'Event stream steps'!$D$2:$D$331,$B24,'Event stream steps'!$G$2:$G$331,D$6)/$C24,0)</f>
        <v>1</v>
      </c>
      <c r="E24" s="7">
        <f>IFERROR(COUNTIFS('Event stream steps'!$C$2:$C$331,$A24,'Event stream steps'!$D$2:$D$331,$B24,'Event stream steps'!$G$2:$G$331,E$6)/$C24,0)</f>
        <v>0</v>
      </c>
      <c r="F24" s="7">
        <f>IFERROR(COUNTIFS('Event stream steps'!$C$2:$C$331,$A24,'Event stream steps'!$D$2:$D$331,$B24,'Event stream steps'!$G$2:$G$331,F$6)/$C24,0)</f>
        <v>0</v>
      </c>
      <c r="G24" s="7">
        <f>IFERROR(COUNTIFS('Event stream steps'!$C$2:$C$331,$A24,'Event stream steps'!$D$2:$D$331,$B24,'Event stream steps'!$G$2:$G$331,G$6)/$C24,0)</f>
        <v>0</v>
      </c>
      <c r="H24" s="7">
        <f>IFERROR(COUNTIFS('Event stream steps'!$C$2:$C$331,$A24,'Event stream steps'!$D$2:$D$331,$B24,'Event stream steps'!$G$2:$G$331,H$6)/$C24,0)</f>
        <v>0</v>
      </c>
      <c r="I24" s="7">
        <f>IFERROR(COUNTIFS('Event stream steps'!$C$2:$C$331,$A24,'Event stream steps'!$D$2:$D$331,$B24,'Event stream steps'!$G$2:$G$331,I$6)/$C24,0)</f>
        <v>0</v>
      </c>
      <c r="J24" s="7">
        <f>IFERROR(COUNTIFS('Event stream steps'!$C$2:$C$331,$A24,'Event stream steps'!$D$2:$D$331,$B24,'Event stream steps'!$G$2:$G$331,J$6)/$C24,0)</f>
        <v>0</v>
      </c>
      <c r="K24" s="7">
        <f>IFERROR(COUNTIFS('Event stream steps'!$C$2:$C$331,$A24,'Event stream steps'!$D$2:$D$331,$B24,'Event stream steps'!$G$2:$G$331,K$6)/$C24,0)</f>
        <v>0</v>
      </c>
      <c r="M24" s="7">
        <f>IFERROR(COUNTIFS('Event stream steps'!$C$2:$C$331,$A24,'Event stream steps'!$D$2:$D$331,$B24,'Event stream steps'!$I$2:$I$331,M$6)/$C24,0)</f>
        <v>0</v>
      </c>
      <c r="N24" s="7">
        <f>IFERROR(COUNTIFS('Event stream steps'!$C$2:$C$331,$A24,'Event stream steps'!$D$2:$D$331,$B24,'Event stream steps'!$I$2:$I$331,N$6)/$C24,0)</f>
        <v>1</v>
      </c>
      <c r="P24" s="7">
        <f>IFERROR(COUNTIFS('Event stream steps'!$C$2:$C$331,$A24,'Event stream steps'!$D$2:$D$331,$B24,'Event stream steps'!$K$2:$K$331,P$6)/$C24,0)</f>
        <v>0.62962962962962965</v>
      </c>
      <c r="Q24" s="7">
        <f>IFERROR(COUNTIFS('Event stream steps'!$C$2:$C$331,$A24,'Event stream steps'!$D$2:$D$331,$B24,'Event stream steps'!$K$2:$K$331,Q$6)/$C24,0)</f>
        <v>0.37037037037037035</v>
      </c>
      <c r="R24" s="7">
        <f>IFERROR(COUNTIFS('Event stream steps'!$C$2:$C$331,$A24,'Event stream steps'!$D$2:$D$331,$B24,'Event stream steps'!$K$2:$K$331,R$6)/$C24,0)</f>
        <v>0</v>
      </c>
    </row>
    <row r="25" spans="1:18" ht="15" customHeight="1" x14ac:dyDescent="0.35">
      <c r="A25" s="5" t="s">
        <v>31</v>
      </c>
      <c r="B25" s="5" t="s">
        <v>24</v>
      </c>
      <c r="C25" s="6">
        <f>COUNTIFS('Event stream steps'!$C$2:$C$331,$A25,'Event stream steps'!$D$2:$D$331,$B25)</f>
        <v>16</v>
      </c>
      <c r="D25" s="7">
        <f>IFERROR(COUNTIFS('Event stream steps'!$C$2:$C$331,$A25,'Event stream steps'!$D$2:$D$331,$B25,'Event stream steps'!$G$2:$G$331,D$6)/$C25,0)</f>
        <v>1</v>
      </c>
      <c r="E25" s="7">
        <f>IFERROR(COUNTIFS('Event stream steps'!$C$2:$C$331,$A25,'Event stream steps'!$D$2:$D$331,$B25,'Event stream steps'!$G$2:$G$331,E$6)/$C25,0)</f>
        <v>0</v>
      </c>
      <c r="F25" s="7">
        <f>IFERROR(COUNTIFS('Event stream steps'!$C$2:$C$331,$A25,'Event stream steps'!$D$2:$D$331,$B25,'Event stream steps'!$G$2:$G$331,F$6)/$C25,0)</f>
        <v>0</v>
      </c>
      <c r="G25" s="7">
        <f>IFERROR(COUNTIFS('Event stream steps'!$C$2:$C$331,$A25,'Event stream steps'!$D$2:$D$331,$B25,'Event stream steps'!$G$2:$G$331,G$6)/$C25,0)</f>
        <v>0</v>
      </c>
      <c r="H25" s="7">
        <f>IFERROR(COUNTIFS('Event stream steps'!$C$2:$C$331,$A25,'Event stream steps'!$D$2:$D$331,$B25,'Event stream steps'!$G$2:$G$331,H$6)/$C25,0)</f>
        <v>0</v>
      </c>
      <c r="I25" s="7">
        <f>IFERROR(COUNTIFS('Event stream steps'!$C$2:$C$331,$A25,'Event stream steps'!$D$2:$D$331,$B25,'Event stream steps'!$G$2:$G$331,I$6)/$C25,0)</f>
        <v>0</v>
      </c>
      <c r="J25" s="7">
        <f>IFERROR(COUNTIFS('Event stream steps'!$C$2:$C$331,$A25,'Event stream steps'!$D$2:$D$331,$B25,'Event stream steps'!$G$2:$G$331,J$6)/$C25,0)</f>
        <v>0</v>
      </c>
      <c r="K25" s="7">
        <f>IFERROR(COUNTIFS('Event stream steps'!$C$2:$C$331,$A25,'Event stream steps'!$D$2:$D$331,$B25,'Event stream steps'!$G$2:$G$331,K$6)/$C25,0)</f>
        <v>0</v>
      </c>
      <c r="M25" s="7">
        <f>IFERROR(COUNTIFS('Event stream steps'!$C$2:$C$331,$A25,'Event stream steps'!$D$2:$D$331,$B25,'Event stream steps'!$I$2:$I$331,M$6)/$C25,0)</f>
        <v>0</v>
      </c>
      <c r="N25" s="7">
        <f>IFERROR(COUNTIFS('Event stream steps'!$C$2:$C$331,$A25,'Event stream steps'!$D$2:$D$331,$B25,'Event stream steps'!$I$2:$I$331,N$6)/$C25,0)</f>
        <v>1</v>
      </c>
      <c r="P25" s="7">
        <f>IFERROR(COUNTIFS('Event stream steps'!$C$2:$C$331,$A25,'Event stream steps'!$D$2:$D$331,$B25,'Event stream steps'!$K$2:$K$331,P$6)/$C25,0)</f>
        <v>0.6875</v>
      </c>
      <c r="Q25" s="7">
        <f>IFERROR(COUNTIFS('Event stream steps'!$C$2:$C$331,$A25,'Event stream steps'!$D$2:$D$331,$B25,'Event stream steps'!$K$2:$K$331,Q$6)/$C25,0)</f>
        <v>0.3125</v>
      </c>
      <c r="R25" s="7">
        <f>IFERROR(COUNTIFS('Event stream steps'!$C$2:$C$331,$A25,'Event stream steps'!$D$2:$D$331,$B25,'Event stream steps'!$K$2:$K$331,R$6)/$C25,0)</f>
        <v>0</v>
      </c>
    </row>
    <row r="26" spans="1:18" ht="15" customHeight="1" x14ac:dyDescent="0.35">
      <c r="A26" s="5" t="s">
        <v>31</v>
      </c>
      <c r="B26" s="5" t="s">
        <v>25</v>
      </c>
      <c r="C26" s="6">
        <f>COUNTIFS('Event stream steps'!$C$2:$C$331,$A26,'Event stream steps'!$D$2:$D$331,$B26)</f>
        <v>6</v>
      </c>
      <c r="D26" s="7">
        <f>IFERROR(COUNTIFS('Event stream steps'!$C$2:$C$331,$A26,'Event stream steps'!$D$2:$D$331,$B26,'Event stream steps'!$G$2:$G$331,D$6)/$C26,0)</f>
        <v>1</v>
      </c>
      <c r="E26" s="7">
        <f>IFERROR(COUNTIFS('Event stream steps'!$C$2:$C$331,$A26,'Event stream steps'!$D$2:$D$331,$B26,'Event stream steps'!$G$2:$G$331,E$6)/$C26,0)</f>
        <v>0</v>
      </c>
      <c r="F26" s="7">
        <f>IFERROR(COUNTIFS('Event stream steps'!$C$2:$C$331,$A26,'Event stream steps'!$D$2:$D$331,$B26,'Event stream steps'!$G$2:$G$331,F$6)/$C26,0)</f>
        <v>0</v>
      </c>
      <c r="G26" s="7">
        <f>IFERROR(COUNTIFS('Event stream steps'!$C$2:$C$331,$A26,'Event stream steps'!$D$2:$D$331,$B26,'Event stream steps'!$G$2:$G$331,G$6)/$C26,0)</f>
        <v>0</v>
      </c>
      <c r="H26" s="7">
        <f>IFERROR(COUNTIFS('Event stream steps'!$C$2:$C$331,$A26,'Event stream steps'!$D$2:$D$331,$B26,'Event stream steps'!$G$2:$G$331,H$6)/$C26,0)</f>
        <v>0</v>
      </c>
      <c r="I26" s="7">
        <f>IFERROR(COUNTIFS('Event stream steps'!$C$2:$C$331,$A26,'Event stream steps'!$D$2:$D$331,$B26,'Event stream steps'!$G$2:$G$331,I$6)/$C26,0)</f>
        <v>0</v>
      </c>
      <c r="J26" s="7">
        <f>IFERROR(COUNTIFS('Event stream steps'!$C$2:$C$331,$A26,'Event stream steps'!$D$2:$D$331,$B26,'Event stream steps'!$G$2:$G$331,J$6)/$C26,0)</f>
        <v>0</v>
      </c>
      <c r="K26" s="7">
        <f>IFERROR(COUNTIFS('Event stream steps'!$C$2:$C$331,$A26,'Event stream steps'!$D$2:$D$331,$B26,'Event stream steps'!$G$2:$G$331,K$6)/$C26,0)</f>
        <v>0</v>
      </c>
      <c r="M26" s="7">
        <f>IFERROR(COUNTIFS('Event stream steps'!$C$2:$C$331,$A26,'Event stream steps'!$D$2:$D$331,$B26,'Event stream steps'!$I$2:$I$331,M$6)/$C26,0)</f>
        <v>0.16666666666666666</v>
      </c>
      <c r="N26" s="7">
        <f>IFERROR(COUNTIFS('Event stream steps'!$C$2:$C$331,$A26,'Event stream steps'!$D$2:$D$331,$B26,'Event stream steps'!$I$2:$I$331,N$6)/$C26,0)</f>
        <v>0.83333333333333337</v>
      </c>
      <c r="P26" s="7">
        <f>IFERROR(COUNTIFS('Event stream steps'!$C$2:$C$331,$A26,'Event stream steps'!$D$2:$D$331,$B26,'Event stream steps'!$K$2:$K$331,P$6)/$C26,0)</f>
        <v>1</v>
      </c>
      <c r="Q26" s="7">
        <f>IFERROR(COUNTIFS('Event stream steps'!$C$2:$C$331,$A26,'Event stream steps'!$D$2:$D$331,$B26,'Event stream steps'!$K$2:$K$331,Q$6)/$C26,0)</f>
        <v>0</v>
      </c>
      <c r="R26" s="7">
        <f>IFERROR(COUNTIFS('Event stream steps'!$C$2:$C$331,$A26,'Event stream steps'!$D$2:$D$331,$B26,'Event stream steps'!$K$2:$K$331,R$6)/$C26,0)</f>
        <v>0</v>
      </c>
    </row>
    <row r="27" spans="1:18" ht="15" customHeight="1" x14ac:dyDescent="0.35">
      <c r="A27" s="5" t="s">
        <v>31</v>
      </c>
      <c r="B27" s="5" t="s">
        <v>26</v>
      </c>
      <c r="C27" s="6">
        <f>COUNTIFS('Event stream steps'!$C$2:$C$331,$A27,'Event stream steps'!$D$2:$D$331,$B27)</f>
        <v>6</v>
      </c>
      <c r="D27" s="7">
        <f>IFERROR(COUNTIFS('Event stream steps'!$C$2:$C$331,$A27,'Event stream steps'!$D$2:$D$331,$B27,'Event stream steps'!$G$2:$G$331,D$6)/$C27,0)</f>
        <v>1</v>
      </c>
      <c r="E27" s="7">
        <f>IFERROR(COUNTIFS('Event stream steps'!$C$2:$C$331,$A27,'Event stream steps'!$D$2:$D$331,$B27,'Event stream steps'!$G$2:$G$331,E$6)/$C27,0)</f>
        <v>0</v>
      </c>
      <c r="F27" s="7">
        <f>IFERROR(COUNTIFS('Event stream steps'!$C$2:$C$331,$A27,'Event stream steps'!$D$2:$D$331,$B27,'Event stream steps'!$G$2:$G$331,F$6)/$C27,0)</f>
        <v>0</v>
      </c>
      <c r="G27" s="7">
        <f>IFERROR(COUNTIFS('Event stream steps'!$C$2:$C$331,$A27,'Event stream steps'!$D$2:$D$331,$B27,'Event stream steps'!$G$2:$G$331,G$6)/$C27,0)</f>
        <v>0</v>
      </c>
      <c r="H27" s="7">
        <f>IFERROR(COUNTIFS('Event stream steps'!$C$2:$C$331,$A27,'Event stream steps'!$D$2:$D$331,$B27,'Event stream steps'!$G$2:$G$331,H$6)/$C27,0)</f>
        <v>0</v>
      </c>
      <c r="I27" s="7">
        <f>IFERROR(COUNTIFS('Event stream steps'!$C$2:$C$331,$A27,'Event stream steps'!$D$2:$D$331,$B27,'Event stream steps'!$G$2:$G$331,I$6)/$C27,0)</f>
        <v>0</v>
      </c>
      <c r="J27" s="7">
        <f>IFERROR(COUNTIFS('Event stream steps'!$C$2:$C$331,$A27,'Event stream steps'!$D$2:$D$331,$B27,'Event stream steps'!$G$2:$G$331,J$6)/$C27,0)</f>
        <v>0</v>
      </c>
      <c r="K27" s="7">
        <f>IFERROR(COUNTIFS('Event stream steps'!$C$2:$C$331,$A27,'Event stream steps'!$D$2:$D$331,$B27,'Event stream steps'!$G$2:$G$331,K$6)/$C27,0)</f>
        <v>0</v>
      </c>
      <c r="M27" s="7">
        <f>IFERROR(COUNTIFS('Event stream steps'!$C$2:$C$331,$A27,'Event stream steps'!$D$2:$D$331,$B27,'Event stream steps'!$I$2:$I$331,M$6)/$C27,0)</f>
        <v>0</v>
      </c>
      <c r="N27" s="7">
        <f>IFERROR(COUNTIFS('Event stream steps'!$C$2:$C$331,$A27,'Event stream steps'!$D$2:$D$331,$B27,'Event stream steps'!$I$2:$I$331,N$6)/$C27,0)</f>
        <v>1</v>
      </c>
      <c r="P27" s="7">
        <f>IFERROR(COUNTIFS('Event stream steps'!$C$2:$C$331,$A27,'Event stream steps'!$D$2:$D$331,$B27,'Event stream steps'!$K$2:$K$331,P$6)/$C27,0)</f>
        <v>1</v>
      </c>
      <c r="Q27" s="7">
        <f>IFERROR(COUNTIFS('Event stream steps'!$C$2:$C$331,$A27,'Event stream steps'!$D$2:$D$331,$B27,'Event stream steps'!$K$2:$K$331,Q$6)/$C27,0)</f>
        <v>0</v>
      </c>
      <c r="R27" s="7">
        <f>IFERROR(COUNTIFS('Event stream steps'!$C$2:$C$331,$A27,'Event stream steps'!$D$2:$D$331,$B27,'Event stream steps'!$K$2:$K$331,R$6)/$C27,0)</f>
        <v>0</v>
      </c>
    </row>
    <row r="28" spans="1:18" ht="15" customHeight="1" x14ac:dyDescent="0.35">
      <c r="A28" s="5" t="s">
        <v>31</v>
      </c>
      <c r="B28" s="5" t="s">
        <v>27</v>
      </c>
      <c r="C28" s="6">
        <f>COUNTIFS('Event stream steps'!$C$2:$C$331,$A28,'Event stream steps'!$D$2:$D$331,$B28)</f>
        <v>1</v>
      </c>
      <c r="D28" s="7">
        <f>IFERROR(COUNTIFS('Event stream steps'!$C$2:$C$331,$A28,'Event stream steps'!$D$2:$D$331,$B28,'Event stream steps'!$G$2:$G$331,D$6)/$C28,0)</f>
        <v>1</v>
      </c>
      <c r="E28" s="7">
        <f>IFERROR(COUNTIFS('Event stream steps'!$C$2:$C$331,$A28,'Event stream steps'!$D$2:$D$331,$B28,'Event stream steps'!$G$2:$G$331,E$6)/$C28,0)</f>
        <v>0</v>
      </c>
      <c r="F28" s="7">
        <f>IFERROR(COUNTIFS('Event stream steps'!$C$2:$C$331,$A28,'Event stream steps'!$D$2:$D$331,$B28,'Event stream steps'!$G$2:$G$331,F$6)/$C28,0)</f>
        <v>0</v>
      </c>
      <c r="G28" s="7">
        <f>IFERROR(COUNTIFS('Event stream steps'!$C$2:$C$331,$A28,'Event stream steps'!$D$2:$D$331,$B28,'Event stream steps'!$G$2:$G$331,G$6)/$C28,0)</f>
        <v>0</v>
      </c>
      <c r="H28" s="7">
        <f>IFERROR(COUNTIFS('Event stream steps'!$C$2:$C$331,$A28,'Event stream steps'!$D$2:$D$331,$B28,'Event stream steps'!$G$2:$G$331,H$6)/$C28,0)</f>
        <v>0</v>
      </c>
      <c r="I28" s="7">
        <f>IFERROR(COUNTIFS('Event stream steps'!$C$2:$C$331,$A28,'Event stream steps'!$D$2:$D$331,$B28,'Event stream steps'!$G$2:$G$331,I$6)/$C28,0)</f>
        <v>0</v>
      </c>
      <c r="J28" s="7">
        <f>IFERROR(COUNTIFS('Event stream steps'!$C$2:$C$331,$A28,'Event stream steps'!$D$2:$D$331,$B28,'Event stream steps'!$G$2:$G$331,J$6)/$C28,0)</f>
        <v>0</v>
      </c>
      <c r="K28" s="7">
        <f>IFERROR(COUNTIFS('Event stream steps'!$C$2:$C$331,$A28,'Event stream steps'!$D$2:$D$331,$B28,'Event stream steps'!$G$2:$G$331,K$6)/$C28,0)</f>
        <v>0</v>
      </c>
      <c r="M28" s="7">
        <f>IFERROR(COUNTIFS('Event stream steps'!$C$2:$C$331,$A28,'Event stream steps'!$D$2:$D$331,$B28,'Event stream steps'!$I$2:$I$331,M$6)/$C28,0)</f>
        <v>0</v>
      </c>
      <c r="N28" s="7">
        <f>IFERROR(COUNTIFS('Event stream steps'!$C$2:$C$331,$A28,'Event stream steps'!$D$2:$D$331,$B28,'Event stream steps'!$I$2:$I$331,N$6)/$C28,0)</f>
        <v>1</v>
      </c>
      <c r="P28" s="7">
        <f>IFERROR(COUNTIFS('Event stream steps'!$C$2:$C$331,$A28,'Event stream steps'!$D$2:$D$331,$B28,'Event stream steps'!$K$2:$K$331,P$6)/$C28,0)</f>
        <v>0</v>
      </c>
      <c r="Q28" s="7">
        <f>IFERROR(COUNTIFS('Event stream steps'!$C$2:$C$331,$A28,'Event stream steps'!$D$2:$D$331,$B28,'Event stream steps'!$K$2:$K$331,Q$6)/$C28,0)</f>
        <v>1</v>
      </c>
      <c r="R28" s="7">
        <f>IFERROR(COUNTIFS('Event stream steps'!$C$2:$C$331,$A28,'Event stream steps'!$D$2:$D$331,$B28,'Event stream steps'!$K$2:$K$331,R$6)/$C28,0)</f>
        <v>0</v>
      </c>
    </row>
    <row r="29" spans="1:18" ht="15" customHeight="1" x14ac:dyDescent="0.35">
      <c r="A29" s="5" t="s">
        <v>31</v>
      </c>
      <c r="B29" s="5" t="s">
        <v>28</v>
      </c>
      <c r="C29" s="6">
        <f>COUNTIFS('Event stream steps'!$C$2:$C$331,$A29,'Event stream steps'!$D$2:$D$331,$B29)</f>
        <v>6</v>
      </c>
      <c r="D29" s="7">
        <f>IFERROR(COUNTIFS('Event stream steps'!$C$2:$C$331,$A29,'Event stream steps'!$D$2:$D$331,$B29,'Event stream steps'!$G$2:$G$331,D$6)/$C29,0)</f>
        <v>1</v>
      </c>
      <c r="E29" s="7">
        <f>IFERROR(COUNTIFS('Event stream steps'!$C$2:$C$331,$A29,'Event stream steps'!$D$2:$D$331,$B29,'Event stream steps'!$G$2:$G$331,E$6)/$C29,0)</f>
        <v>0</v>
      </c>
      <c r="F29" s="7">
        <f>IFERROR(COUNTIFS('Event stream steps'!$C$2:$C$331,$A29,'Event stream steps'!$D$2:$D$331,$B29,'Event stream steps'!$G$2:$G$331,F$6)/$C29,0)</f>
        <v>0</v>
      </c>
      <c r="G29" s="7">
        <f>IFERROR(COUNTIFS('Event stream steps'!$C$2:$C$331,$A29,'Event stream steps'!$D$2:$D$331,$B29,'Event stream steps'!$G$2:$G$331,G$6)/$C29,0)</f>
        <v>0</v>
      </c>
      <c r="H29" s="7">
        <f>IFERROR(COUNTIFS('Event stream steps'!$C$2:$C$331,$A29,'Event stream steps'!$D$2:$D$331,$B29,'Event stream steps'!$G$2:$G$331,H$6)/$C29,0)</f>
        <v>0</v>
      </c>
      <c r="I29" s="7">
        <f>IFERROR(COUNTIFS('Event stream steps'!$C$2:$C$331,$A29,'Event stream steps'!$D$2:$D$331,$B29,'Event stream steps'!$G$2:$G$331,I$6)/$C29,0)</f>
        <v>0</v>
      </c>
      <c r="J29" s="7">
        <f>IFERROR(COUNTIFS('Event stream steps'!$C$2:$C$331,$A29,'Event stream steps'!$D$2:$D$331,$B29,'Event stream steps'!$G$2:$G$331,J$6)/$C29,0)</f>
        <v>0</v>
      </c>
      <c r="K29" s="7">
        <f>IFERROR(COUNTIFS('Event stream steps'!$C$2:$C$331,$A29,'Event stream steps'!$D$2:$D$331,$B29,'Event stream steps'!$G$2:$G$331,K$6)/$C29,0)</f>
        <v>0</v>
      </c>
      <c r="M29" s="7">
        <f>IFERROR(COUNTIFS('Event stream steps'!$C$2:$C$331,$A29,'Event stream steps'!$D$2:$D$331,$B29,'Event stream steps'!$I$2:$I$331,M$6)/$C29,0)</f>
        <v>0</v>
      </c>
      <c r="N29" s="7">
        <f>IFERROR(COUNTIFS('Event stream steps'!$C$2:$C$331,$A29,'Event stream steps'!$D$2:$D$331,$B29,'Event stream steps'!$I$2:$I$331,N$6)/$C29,0)</f>
        <v>1</v>
      </c>
      <c r="P29" s="7">
        <f>IFERROR(COUNTIFS('Event stream steps'!$C$2:$C$331,$A29,'Event stream steps'!$D$2:$D$331,$B29,'Event stream steps'!$K$2:$K$331,P$6)/$C29,0)</f>
        <v>0</v>
      </c>
      <c r="Q29" s="7">
        <f>IFERROR(COUNTIFS('Event stream steps'!$C$2:$C$331,$A29,'Event stream steps'!$D$2:$D$331,$B29,'Event stream steps'!$K$2:$K$331,Q$6)/$C29,0)</f>
        <v>1</v>
      </c>
      <c r="R29" s="7">
        <f>IFERROR(COUNTIFS('Event stream steps'!$C$2:$C$331,$A29,'Event stream steps'!$D$2:$D$331,$B29,'Event stream steps'!$K$2:$K$331,R$6)/$C29,0)</f>
        <v>0</v>
      </c>
    </row>
    <row r="30" spans="1:18" ht="15" customHeight="1" x14ac:dyDescent="0.35">
      <c r="A30" s="8" t="s">
        <v>31</v>
      </c>
      <c r="B30" s="8" t="s">
        <v>29</v>
      </c>
      <c r="C30" s="9">
        <f>COUNTIFS('Event stream steps'!$C$2:$C$331,$A30)</f>
        <v>81</v>
      </c>
      <c r="D30" s="10">
        <f>IFERROR(COUNTIFS('Event stream steps'!$C$2:$C$331,$A30,'Event stream steps'!$G$2:$G$331,D$6)/$C30,0)</f>
        <v>1</v>
      </c>
      <c r="E30" s="10">
        <f>IFERROR(COUNTIFS('Event stream steps'!$C$2:$C$331,$A30,'Event stream steps'!$G$2:$G$331,E$6)/$C30,0)</f>
        <v>0</v>
      </c>
      <c r="F30" s="10">
        <f>IFERROR(COUNTIFS('Event stream steps'!$C$2:$C$331,$A30,'Event stream steps'!$G$2:$G$331,F$6)/$C30,0)</f>
        <v>0</v>
      </c>
      <c r="G30" s="10">
        <f>IFERROR(COUNTIFS('Event stream steps'!$C$2:$C$331,$A30,'Event stream steps'!$G$2:$G$331,G$6)/$C30,0)</f>
        <v>0</v>
      </c>
      <c r="H30" s="10">
        <f>IFERROR(COUNTIFS('Event stream steps'!$C$2:$C$331,$A30,'Event stream steps'!$G$2:$G$331,H$6)/$C30,0)</f>
        <v>0</v>
      </c>
      <c r="I30" s="10">
        <f>IFERROR(COUNTIFS('Event stream steps'!$C$2:$C$331,$A30,'Event stream steps'!$G$2:$G$331,I$6)/$C30,0)</f>
        <v>0</v>
      </c>
      <c r="J30" s="10">
        <f>IFERROR(COUNTIFS('Event stream steps'!$C$2:$C$331,$A30,'Event stream steps'!$G$2:$G$331,J$6)/$C30,0)</f>
        <v>0</v>
      </c>
      <c r="K30" s="10">
        <f>IFERROR(COUNTIFS('Event stream steps'!$C$2:$C$331,$A30,'Event stream steps'!$G$2:$G$331,K$6)/$C30,0)</f>
        <v>0</v>
      </c>
      <c r="M30" s="10">
        <f>IFERROR(COUNTIFS('Event stream steps'!$C$2:$C$331,$A30,'Event stream steps'!$I$2:$I$331,M$6)/$C30,0)</f>
        <v>1.2345679012345678E-2</v>
      </c>
      <c r="N30" s="10">
        <f>IFERROR(COUNTIFS('Event stream steps'!$C$2:$C$331,$A30,'Event stream steps'!$I$2:$I$331,N$6)/$C30,0)</f>
        <v>0.98765432098765427</v>
      </c>
      <c r="P30" s="10">
        <f>IFERROR(COUNTIFS('Event stream steps'!$C$2:$C$331,$A30,'Event stream steps'!$K$2:$K$331,P$6)/$C30,0)</f>
        <v>0.67901234567901236</v>
      </c>
      <c r="Q30" s="10">
        <f>IFERROR(COUNTIFS('Event stream steps'!$C$2:$C$331,$A30,'Event stream steps'!$K$2:$K$331,Q$6)/$C30,0)</f>
        <v>0.32098765432098764</v>
      </c>
      <c r="R30" s="10">
        <f>IFERROR(COUNTIFS('Event stream steps'!$C$2:$C$331,$A30,'Event stream steps'!$K$2:$K$331,R$6)/$C30,0)</f>
        <v>0</v>
      </c>
    </row>
    <row r="31" spans="1:18" ht="15" customHeight="1" x14ac:dyDescent="0.35">
      <c r="A31" s="5" t="s">
        <v>32</v>
      </c>
      <c r="B31" s="5" t="s">
        <v>22</v>
      </c>
      <c r="C31" s="6">
        <f>COUNTIFS('Event stream steps'!$C$2:$C$331,$A31,'Event stream steps'!$D$2:$D$331,$B31)</f>
        <v>4</v>
      </c>
      <c r="D31" s="7">
        <f>IFERROR(COUNTIFS('Event stream steps'!$C$2:$C$331,$A31,'Event stream steps'!$D$2:$D$331,$B31,'Event stream steps'!$G$2:$G$331,D$6)/$C31,0)</f>
        <v>1</v>
      </c>
      <c r="E31" s="7">
        <f>IFERROR(COUNTIFS('Event stream steps'!$C$2:$C$331,$A31,'Event stream steps'!$D$2:$D$331,$B31,'Event stream steps'!$G$2:$G$331,E$6)/$C31,0)</f>
        <v>0</v>
      </c>
      <c r="F31" s="7">
        <f>IFERROR(COUNTIFS('Event stream steps'!$C$2:$C$331,$A31,'Event stream steps'!$D$2:$D$331,$B31,'Event stream steps'!$G$2:$G$331,F$6)/$C31,0)</f>
        <v>0</v>
      </c>
      <c r="G31" s="7">
        <f>IFERROR(COUNTIFS('Event stream steps'!$C$2:$C$331,$A31,'Event stream steps'!$D$2:$D$331,$B31,'Event stream steps'!$G$2:$G$331,G$6)/$C31,0)</f>
        <v>0</v>
      </c>
      <c r="H31" s="7">
        <f>IFERROR(COUNTIFS('Event stream steps'!$C$2:$C$331,$A31,'Event stream steps'!$D$2:$D$331,$B31,'Event stream steps'!$G$2:$G$331,H$6)/$C31,0)</f>
        <v>0</v>
      </c>
      <c r="I31" s="7">
        <f>IFERROR(COUNTIFS('Event stream steps'!$C$2:$C$331,$A31,'Event stream steps'!$D$2:$D$331,$B31,'Event stream steps'!$G$2:$G$331,I$6)/$C31,0)</f>
        <v>0</v>
      </c>
      <c r="J31" s="7">
        <f>IFERROR(COUNTIFS('Event stream steps'!$C$2:$C$331,$A31,'Event stream steps'!$D$2:$D$331,$B31,'Event stream steps'!$G$2:$G$331,J$6)/$C31,0)</f>
        <v>0</v>
      </c>
      <c r="K31" s="7">
        <f>IFERROR(COUNTIFS('Event stream steps'!$C$2:$C$331,$A31,'Event stream steps'!$D$2:$D$331,$B31,'Event stream steps'!$G$2:$G$331,K$6)/$C31,0)</f>
        <v>0</v>
      </c>
      <c r="M31" s="7">
        <f>IFERROR(COUNTIFS('Event stream steps'!$C$2:$C$331,$A31,'Event stream steps'!$D$2:$D$331,$B31,'Event stream steps'!$I$2:$I$331,M$6)/$C31,0)</f>
        <v>0</v>
      </c>
      <c r="N31" s="7">
        <f>IFERROR(COUNTIFS('Event stream steps'!$C$2:$C$331,$A31,'Event stream steps'!$D$2:$D$331,$B31,'Event stream steps'!$I$2:$I$331,N$6)/$C31,0)</f>
        <v>1</v>
      </c>
      <c r="P31" s="7">
        <f>IFERROR(COUNTIFS('Event stream steps'!$C$2:$C$331,$A31,'Event stream steps'!$D$2:$D$331,$B31,'Event stream steps'!$K$2:$K$331,P$6)/$C31,0)</f>
        <v>0.75</v>
      </c>
      <c r="Q31" s="7">
        <f>IFERROR(COUNTIFS('Event stream steps'!$C$2:$C$331,$A31,'Event stream steps'!$D$2:$D$331,$B31,'Event stream steps'!$K$2:$K$331,Q$6)/$C31,0)</f>
        <v>0.25</v>
      </c>
      <c r="R31" s="7">
        <f>IFERROR(COUNTIFS('Event stream steps'!$C$2:$C$331,$A31,'Event stream steps'!$D$2:$D$331,$B31,'Event stream steps'!$K$2:$K$331,R$6)/$C31,0)</f>
        <v>0</v>
      </c>
    </row>
    <row r="32" spans="1:18" ht="15" customHeight="1" x14ac:dyDescent="0.35">
      <c r="A32" s="5" t="s">
        <v>32</v>
      </c>
      <c r="B32" s="5" t="s">
        <v>23</v>
      </c>
      <c r="C32" s="6">
        <f>COUNTIFS('Event stream steps'!$C$2:$C$331,$A32,'Event stream steps'!$D$2:$D$331,$B32)</f>
        <v>3</v>
      </c>
      <c r="D32" s="7">
        <f>IFERROR(COUNTIFS('Event stream steps'!$C$2:$C$331,$A32,'Event stream steps'!$D$2:$D$331,$B32,'Event stream steps'!$G$2:$G$331,D$6)/$C32,0)</f>
        <v>1</v>
      </c>
      <c r="E32" s="7">
        <f>IFERROR(COUNTIFS('Event stream steps'!$C$2:$C$331,$A32,'Event stream steps'!$D$2:$D$331,$B32,'Event stream steps'!$G$2:$G$331,E$6)/$C32,0)</f>
        <v>0</v>
      </c>
      <c r="F32" s="7">
        <f>IFERROR(COUNTIFS('Event stream steps'!$C$2:$C$331,$A32,'Event stream steps'!$D$2:$D$331,$B32,'Event stream steps'!$G$2:$G$331,F$6)/$C32,0)</f>
        <v>0</v>
      </c>
      <c r="G32" s="7">
        <f>IFERROR(COUNTIFS('Event stream steps'!$C$2:$C$331,$A32,'Event stream steps'!$D$2:$D$331,$B32,'Event stream steps'!$G$2:$G$331,G$6)/$C32,0)</f>
        <v>0</v>
      </c>
      <c r="H32" s="7">
        <f>IFERROR(COUNTIFS('Event stream steps'!$C$2:$C$331,$A32,'Event stream steps'!$D$2:$D$331,$B32,'Event stream steps'!$G$2:$G$331,H$6)/$C32,0)</f>
        <v>0</v>
      </c>
      <c r="I32" s="7">
        <f>IFERROR(COUNTIFS('Event stream steps'!$C$2:$C$331,$A32,'Event stream steps'!$D$2:$D$331,$B32,'Event stream steps'!$G$2:$G$331,I$6)/$C32,0)</f>
        <v>0</v>
      </c>
      <c r="J32" s="7">
        <f>IFERROR(COUNTIFS('Event stream steps'!$C$2:$C$331,$A32,'Event stream steps'!$D$2:$D$331,$B32,'Event stream steps'!$G$2:$G$331,J$6)/$C32,0)</f>
        <v>0</v>
      </c>
      <c r="K32" s="7">
        <f>IFERROR(COUNTIFS('Event stream steps'!$C$2:$C$331,$A32,'Event stream steps'!$D$2:$D$331,$B32,'Event stream steps'!$G$2:$G$331,K$6)/$C32,0)</f>
        <v>0</v>
      </c>
      <c r="M32" s="7">
        <f>IFERROR(COUNTIFS('Event stream steps'!$C$2:$C$331,$A32,'Event stream steps'!$D$2:$D$331,$B32,'Event stream steps'!$I$2:$I$331,M$6)/$C32,0)</f>
        <v>0</v>
      </c>
      <c r="N32" s="7">
        <f>IFERROR(COUNTIFS('Event stream steps'!$C$2:$C$331,$A32,'Event stream steps'!$D$2:$D$331,$B32,'Event stream steps'!$I$2:$I$331,N$6)/$C32,0)</f>
        <v>1</v>
      </c>
      <c r="P32" s="7">
        <f>IFERROR(COUNTIFS('Event stream steps'!$C$2:$C$331,$A32,'Event stream steps'!$D$2:$D$331,$B32,'Event stream steps'!$K$2:$K$331,P$6)/$C32,0)</f>
        <v>1</v>
      </c>
      <c r="Q32" s="7">
        <f>IFERROR(COUNTIFS('Event stream steps'!$C$2:$C$331,$A32,'Event stream steps'!$D$2:$D$331,$B32,'Event stream steps'!$K$2:$K$331,Q$6)/$C32,0)</f>
        <v>0</v>
      </c>
      <c r="R32" s="7">
        <f>IFERROR(COUNTIFS('Event stream steps'!$C$2:$C$331,$A32,'Event stream steps'!$D$2:$D$331,$B32,'Event stream steps'!$K$2:$K$331,R$6)/$C32,0)</f>
        <v>0</v>
      </c>
    </row>
    <row r="33" spans="1:18" ht="15" customHeight="1" x14ac:dyDescent="0.35">
      <c r="A33" s="8" t="s">
        <v>32</v>
      </c>
      <c r="B33" s="8" t="s">
        <v>29</v>
      </c>
      <c r="C33" s="9">
        <f>COUNTIFS('Event stream steps'!$C$2:$C$331,$A33)</f>
        <v>7</v>
      </c>
      <c r="D33" s="10">
        <f>IFERROR(COUNTIFS('Event stream steps'!$C$2:$C$331,$A33,'Event stream steps'!$G$2:$G$331,D$6)/$C33,0)</f>
        <v>1</v>
      </c>
      <c r="E33" s="10">
        <f>IFERROR(COUNTIFS('Event stream steps'!$C$2:$C$331,$A33,'Event stream steps'!$G$2:$G$331,E$6)/$C33,0)</f>
        <v>0</v>
      </c>
      <c r="F33" s="10">
        <f>IFERROR(COUNTIFS('Event stream steps'!$C$2:$C$331,$A33,'Event stream steps'!$G$2:$G$331,F$6)/$C33,0)</f>
        <v>0</v>
      </c>
      <c r="G33" s="10">
        <f>IFERROR(COUNTIFS('Event stream steps'!$C$2:$C$331,$A33,'Event stream steps'!$G$2:$G$331,G$6)/$C33,0)</f>
        <v>0</v>
      </c>
      <c r="H33" s="10">
        <f>IFERROR(COUNTIFS('Event stream steps'!$C$2:$C$331,$A33,'Event stream steps'!$G$2:$G$331,H$6)/$C33,0)</f>
        <v>0</v>
      </c>
      <c r="I33" s="10">
        <f>IFERROR(COUNTIFS('Event stream steps'!$C$2:$C$331,$A33,'Event stream steps'!$G$2:$G$331,I$6)/$C33,0)</f>
        <v>0</v>
      </c>
      <c r="J33" s="10">
        <f>IFERROR(COUNTIFS('Event stream steps'!$C$2:$C$331,$A33,'Event stream steps'!$G$2:$G$331,J$6)/$C33,0)</f>
        <v>0</v>
      </c>
      <c r="K33" s="10">
        <f>IFERROR(COUNTIFS('Event stream steps'!$C$2:$C$331,$A33,'Event stream steps'!$G$2:$G$331,K$6)/$C33,0)</f>
        <v>0</v>
      </c>
      <c r="M33" s="10">
        <f>IFERROR(COUNTIFS('Event stream steps'!$C$2:$C$331,$A33,'Event stream steps'!$I$2:$I$331,M$6)/$C33,0)</f>
        <v>0</v>
      </c>
      <c r="N33" s="10">
        <f>IFERROR(COUNTIFS('Event stream steps'!$C$2:$C$331,$A33,'Event stream steps'!$I$2:$I$331,N$6)/$C33,0)</f>
        <v>1</v>
      </c>
      <c r="P33" s="10">
        <f>IFERROR(COUNTIFS('Event stream steps'!$C$2:$C$331,$A33,'Event stream steps'!$K$2:$K$331,P$6)/$C33,0)</f>
        <v>0.8571428571428571</v>
      </c>
      <c r="Q33" s="10">
        <f>IFERROR(COUNTIFS('Event stream steps'!$C$2:$C$331,$A33,'Event stream steps'!$K$2:$K$331,Q$6)/$C33,0)</f>
        <v>0.14285714285714285</v>
      </c>
      <c r="R33" s="10">
        <f>IFERROR(COUNTIFS('Event stream steps'!$C$2:$C$331,$A33,'Event stream steps'!$K$2:$K$331,R$6)/$C33,0)</f>
        <v>0</v>
      </c>
    </row>
    <row r="34" spans="1:18" ht="15" customHeight="1" x14ac:dyDescent="0.35">
      <c r="A34" s="11" t="s">
        <v>33</v>
      </c>
      <c r="B34" s="11" t="s">
        <v>29</v>
      </c>
      <c r="C34" s="12">
        <f>COUNTA('Event stream steps'!$A$2:$A$331)</f>
        <v>330</v>
      </c>
      <c r="D34" s="13">
        <f>IFERROR(COUNTIFS('Event stream steps'!$G$2:$G$331,D$6)/$C34,0)</f>
        <v>1</v>
      </c>
      <c r="E34" s="13">
        <f>IFERROR(COUNTIFS('Event stream steps'!$G$2:$G$331,E$6)/$C34,0)</f>
        <v>0</v>
      </c>
      <c r="F34" s="13">
        <f>IFERROR(COUNTIFS('Event stream steps'!$G$2:$G$331,F$6)/$C34,0)</f>
        <v>0</v>
      </c>
      <c r="G34" s="13">
        <f>IFERROR(COUNTIFS('Event stream steps'!$G$2:$G$331,G$6)/$C34,0)</f>
        <v>0</v>
      </c>
      <c r="H34" s="13">
        <f>IFERROR(COUNTIFS('Event stream steps'!$G$2:$G$331,H$6)/$C34,0)</f>
        <v>0</v>
      </c>
      <c r="I34" s="13">
        <f>IFERROR(COUNTIFS('Event stream steps'!$G$2:$G$331,I$6)/$C34,0)</f>
        <v>0</v>
      </c>
      <c r="J34" s="13">
        <f>IFERROR(COUNTIFS('Event stream steps'!$G$2:$G$331,J$6)/$C34,0)</f>
        <v>0</v>
      </c>
      <c r="K34" s="13">
        <f>IFERROR(COUNTIFS('Event stream steps'!$G$2:$G$331,K$6)/$C34,0)</f>
        <v>0</v>
      </c>
      <c r="M34" s="13">
        <f>IFERROR(COUNTIFS('Event stream steps'!$I$2:$I$331,M$6)/$C34,0)</f>
        <v>1.5151515151515152E-2</v>
      </c>
      <c r="N34" s="13">
        <f>IFERROR(COUNTIFS('Event stream steps'!$I$2:$I$331,N$6)/$C34,0)</f>
        <v>0.98484848484848486</v>
      </c>
      <c r="P34" s="13">
        <f>IFERROR(COUNTIFS('Event stream steps'!$K$2:$K$331,P$6)/$C34,0)</f>
        <v>0.64242424242424245</v>
      </c>
      <c r="Q34" s="13">
        <f>IFERROR(COUNTIFS('Event stream steps'!$K$2:$K$331,Q$6)/$C34,0)</f>
        <v>0.3575757575757576</v>
      </c>
      <c r="R34" s="13">
        <f>IFERROR(COUNTIFS('Event stream steps'!$K$2:$K$331,R$6)/$C34,0)</f>
        <v>0</v>
      </c>
    </row>
    <row r="36" spans="1:18" ht="15" customHeight="1" x14ac:dyDescent="0.35">
      <c r="A36" s="14" t="s">
        <v>34</v>
      </c>
    </row>
  </sheetData>
  <mergeCells count="4">
    <mergeCell ref="A2:R3"/>
    <mergeCell ref="D5:K5"/>
    <mergeCell ref="M5:N5"/>
    <mergeCell ref="P5:R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5"/>
  <sheetViews>
    <sheetView tabSelected="1" zoomScaleNormal="100" workbookViewId="0">
      <pane ySplit="13" topLeftCell="A14" activePane="bottomLeft" state="frozen"/>
      <selection pane="bottomLeft" activeCell="H23" sqref="H23"/>
    </sheetView>
  </sheetViews>
  <sheetFormatPr defaultColWidth="8.6328125" defaultRowHeight="14.5" x14ac:dyDescent="0.35"/>
  <cols>
    <col min="1" max="1" width="9" customWidth="1"/>
    <col min="2" max="2" width="46" customWidth="1"/>
    <col min="3" max="3" width="26" customWidth="1"/>
    <col min="4" max="4" width="10" customWidth="1"/>
    <col min="5" max="5" width="16.6328125" bestFit="1" customWidth="1"/>
    <col min="6" max="6" width="10" customWidth="1"/>
    <col min="7" max="7" width="24" customWidth="1"/>
    <col min="8" max="8" width="28" customWidth="1"/>
    <col min="9" max="9" width="50" customWidth="1"/>
  </cols>
  <sheetData>
    <row r="1" spans="1:9" ht="15" customHeight="1" x14ac:dyDescent="0.35">
      <c r="A1" s="2" t="s">
        <v>537</v>
      </c>
    </row>
    <row r="2" spans="1:9" ht="15" customHeight="1" x14ac:dyDescent="0.35">
      <c r="A2" s="34" t="s">
        <v>538</v>
      </c>
      <c r="B2" s="34"/>
      <c r="C2" s="34"/>
      <c r="D2" s="34"/>
      <c r="E2" s="34"/>
      <c r="F2" s="34"/>
      <c r="G2" s="34"/>
      <c r="H2" s="34"/>
      <c r="I2" s="34"/>
    </row>
    <row r="3" spans="1:9" x14ac:dyDescent="0.35">
      <c r="A3" s="34"/>
      <c r="B3" s="34"/>
      <c r="C3" s="34"/>
      <c r="D3" s="34"/>
      <c r="E3" s="34"/>
      <c r="F3" s="34"/>
      <c r="G3" s="34"/>
      <c r="H3" s="34"/>
      <c r="I3" s="34"/>
    </row>
    <row r="5" spans="1:9" ht="30" customHeight="1" x14ac:dyDescent="0.35">
      <c r="A5" s="17" t="s">
        <v>539</v>
      </c>
      <c r="B5" s="4" t="s">
        <v>540</v>
      </c>
      <c r="C5" s="4" t="s">
        <v>541</v>
      </c>
      <c r="D5" s="4" t="s">
        <v>9</v>
      </c>
      <c r="E5" s="4" t="s">
        <v>542</v>
      </c>
      <c r="F5" s="4" t="s">
        <v>10</v>
      </c>
      <c r="G5" s="4" t="s">
        <v>11</v>
      </c>
      <c r="H5" s="4" t="s">
        <v>543</v>
      </c>
      <c r="I5" s="4" t="s">
        <v>15</v>
      </c>
    </row>
    <row r="6" spans="1:9" x14ac:dyDescent="0.35">
      <c r="A6" s="18" t="s">
        <v>71</v>
      </c>
      <c r="B6" s="19">
        <f>COUNTIF($A$14:$A$55,$A6)</f>
        <v>9</v>
      </c>
      <c r="C6" s="19">
        <f t="shared" ref="C6:I10" si="0">COUNTIFS($A$14:$A$55,$A6,$G$14:$G$55,C$5)</f>
        <v>9</v>
      </c>
      <c r="D6" s="19">
        <f t="shared" si="0"/>
        <v>0</v>
      </c>
      <c r="E6" s="19">
        <f t="shared" si="0"/>
        <v>0</v>
      </c>
      <c r="F6" s="19">
        <f t="shared" si="0"/>
        <v>0</v>
      </c>
      <c r="G6" s="19">
        <f t="shared" si="0"/>
        <v>0</v>
      </c>
      <c r="H6" s="19">
        <f t="shared" si="0"/>
        <v>0</v>
      </c>
      <c r="I6" s="19">
        <f t="shared" si="0"/>
        <v>0</v>
      </c>
    </row>
    <row r="7" spans="1:9" x14ac:dyDescent="0.35">
      <c r="A7" s="18" t="s">
        <v>48</v>
      </c>
      <c r="B7" s="19">
        <f>COUNTIF($A$14:$A$55,$A7)</f>
        <v>26</v>
      </c>
      <c r="C7" s="19">
        <f t="shared" si="0"/>
        <v>26</v>
      </c>
      <c r="D7" s="19">
        <f t="shared" si="0"/>
        <v>0</v>
      </c>
      <c r="E7" s="19">
        <f t="shared" si="0"/>
        <v>0</v>
      </c>
      <c r="F7" s="19">
        <f t="shared" si="0"/>
        <v>0</v>
      </c>
      <c r="G7" s="19">
        <f t="shared" si="0"/>
        <v>0</v>
      </c>
      <c r="H7" s="19">
        <f t="shared" si="0"/>
        <v>0</v>
      </c>
      <c r="I7" s="19">
        <f t="shared" si="0"/>
        <v>0</v>
      </c>
    </row>
    <row r="8" spans="1:9" x14ac:dyDescent="0.35">
      <c r="A8" s="18" t="s">
        <v>544</v>
      </c>
      <c r="B8" s="19">
        <f>COUNTIF($A$14:$A$55,$A8)</f>
        <v>1</v>
      </c>
      <c r="C8" s="19">
        <f t="shared" si="0"/>
        <v>1</v>
      </c>
      <c r="D8" s="19">
        <f t="shared" si="0"/>
        <v>0</v>
      </c>
      <c r="E8" s="19">
        <f t="shared" si="0"/>
        <v>0</v>
      </c>
      <c r="F8" s="19">
        <f t="shared" si="0"/>
        <v>0</v>
      </c>
      <c r="G8" s="19">
        <f t="shared" si="0"/>
        <v>0</v>
      </c>
      <c r="H8" s="19">
        <f t="shared" si="0"/>
        <v>0</v>
      </c>
      <c r="I8" s="19">
        <f t="shared" si="0"/>
        <v>0</v>
      </c>
    </row>
    <row r="9" spans="1:9" x14ac:dyDescent="0.35">
      <c r="A9" s="18" t="s">
        <v>260</v>
      </c>
      <c r="B9" s="19">
        <f>COUNTIF($A$14:$A$55,$A9)</f>
        <v>1</v>
      </c>
      <c r="C9" s="19">
        <f t="shared" si="0"/>
        <v>1</v>
      </c>
      <c r="D9" s="19">
        <f t="shared" si="0"/>
        <v>0</v>
      </c>
      <c r="E9" s="19">
        <f t="shared" si="0"/>
        <v>0</v>
      </c>
      <c r="F9" s="19">
        <f t="shared" si="0"/>
        <v>0</v>
      </c>
      <c r="G9" s="19">
        <f t="shared" si="0"/>
        <v>0</v>
      </c>
      <c r="H9" s="19">
        <f t="shared" si="0"/>
        <v>0</v>
      </c>
      <c r="I9" s="19">
        <f t="shared" si="0"/>
        <v>0</v>
      </c>
    </row>
    <row r="10" spans="1:9" x14ac:dyDescent="0.35">
      <c r="A10" s="18" t="s">
        <v>545</v>
      </c>
      <c r="B10" s="19">
        <f>COUNTIF($A$14:$A$55,$A10)</f>
        <v>5</v>
      </c>
      <c r="C10" s="19">
        <f t="shared" si="0"/>
        <v>5</v>
      </c>
      <c r="D10" s="19">
        <f t="shared" si="0"/>
        <v>0</v>
      </c>
      <c r="E10" s="19">
        <f t="shared" si="0"/>
        <v>0</v>
      </c>
      <c r="F10" s="19">
        <f t="shared" si="0"/>
        <v>0</v>
      </c>
      <c r="G10" s="19">
        <f t="shared" si="0"/>
        <v>0</v>
      </c>
      <c r="H10" s="19">
        <f t="shared" si="0"/>
        <v>0</v>
      </c>
      <c r="I10" s="19">
        <f t="shared" si="0"/>
        <v>0</v>
      </c>
    </row>
    <row r="11" spans="1:9" x14ac:dyDescent="0.35">
      <c r="A11" s="20" t="s">
        <v>546</v>
      </c>
      <c r="B11" s="20">
        <f>COUNTA($A$14:$A$55)</f>
        <v>42</v>
      </c>
      <c r="C11" s="20">
        <f t="shared" ref="C11:I11" si="1">COUNTIF($G$14:$G$55,C$5)</f>
        <v>42</v>
      </c>
      <c r="D11" s="20">
        <f t="shared" si="1"/>
        <v>0</v>
      </c>
      <c r="E11" s="20">
        <f t="shared" si="1"/>
        <v>0</v>
      </c>
      <c r="F11" s="20">
        <f t="shared" si="1"/>
        <v>0</v>
      </c>
      <c r="G11" s="20">
        <f t="shared" si="1"/>
        <v>0</v>
      </c>
      <c r="H11" s="20">
        <f t="shared" si="1"/>
        <v>0</v>
      </c>
      <c r="I11" s="20">
        <f t="shared" si="1"/>
        <v>0</v>
      </c>
    </row>
    <row r="13" spans="1:9" ht="30" customHeight="1" x14ac:dyDescent="0.35">
      <c r="A13" s="17" t="s">
        <v>539</v>
      </c>
      <c r="B13" s="17" t="s">
        <v>547</v>
      </c>
      <c r="C13" s="17" t="s">
        <v>548</v>
      </c>
      <c r="D13" s="4" t="s">
        <v>549</v>
      </c>
      <c r="E13" s="4" t="s">
        <v>550</v>
      </c>
      <c r="F13" s="4" t="s">
        <v>551</v>
      </c>
      <c r="G13" s="4" t="s">
        <v>39</v>
      </c>
      <c r="H13" s="17" t="s">
        <v>552</v>
      </c>
      <c r="I13" s="17" t="s">
        <v>40</v>
      </c>
    </row>
    <row r="14" spans="1:9" x14ac:dyDescent="0.35">
      <c r="A14" s="21" t="s">
        <v>71</v>
      </c>
      <c r="B14" s="21" t="s">
        <v>553</v>
      </c>
      <c r="C14" s="22" t="s">
        <v>554</v>
      </c>
      <c r="D14" s="23">
        <v>113</v>
      </c>
      <c r="E14" s="23">
        <v>5</v>
      </c>
      <c r="F14" s="23"/>
      <c r="G14" s="21" t="s">
        <v>541</v>
      </c>
      <c r="H14" s="21"/>
      <c r="I14" s="22"/>
    </row>
    <row r="15" spans="1:9" ht="24.75" customHeight="1" x14ac:dyDescent="0.35">
      <c r="A15" s="21" t="s">
        <v>71</v>
      </c>
      <c r="B15" s="21" t="s">
        <v>555</v>
      </c>
      <c r="C15" s="22" t="s">
        <v>554</v>
      </c>
      <c r="D15" s="23">
        <v>45</v>
      </c>
      <c r="E15" s="23">
        <v>0</v>
      </c>
      <c r="F15" s="23"/>
      <c r="G15" s="21" t="s">
        <v>541</v>
      </c>
      <c r="H15" s="21"/>
      <c r="I15" s="22" t="s">
        <v>556</v>
      </c>
    </row>
    <row r="16" spans="1:9" x14ac:dyDescent="0.35">
      <c r="A16" s="21" t="s">
        <v>71</v>
      </c>
      <c r="B16" s="21" t="s">
        <v>557</v>
      </c>
      <c r="C16" s="22" t="s">
        <v>554</v>
      </c>
      <c r="D16" s="23">
        <v>38</v>
      </c>
      <c r="E16" s="23">
        <v>0</v>
      </c>
      <c r="F16" s="23"/>
      <c r="G16" s="21" t="s">
        <v>541</v>
      </c>
      <c r="H16" s="21"/>
      <c r="I16" s="22" t="s">
        <v>558</v>
      </c>
    </row>
    <row r="17" spans="1:9" x14ac:dyDescent="0.35">
      <c r="A17" s="21" t="s">
        <v>71</v>
      </c>
      <c r="B17" s="21" t="s">
        <v>559</v>
      </c>
      <c r="C17" s="22" t="s">
        <v>554</v>
      </c>
      <c r="D17" s="23">
        <v>36</v>
      </c>
      <c r="E17" s="23">
        <v>1</v>
      </c>
      <c r="F17" s="23"/>
      <c r="G17" s="21" t="s">
        <v>541</v>
      </c>
      <c r="H17" s="21"/>
      <c r="I17" s="22"/>
    </row>
    <row r="18" spans="1:9" x14ac:dyDescent="0.35">
      <c r="A18" s="21" t="s">
        <v>71</v>
      </c>
      <c r="B18" s="21" t="s">
        <v>560</v>
      </c>
      <c r="C18" s="22" t="s">
        <v>554</v>
      </c>
      <c r="D18" s="23">
        <v>29</v>
      </c>
      <c r="E18" s="23">
        <v>28</v>
      </c>
      <c r="F18" s="23"/>
      <c r="G18" s="21" t="s">
        <v>541</v>
      </c>
      <c r="H18" s="21"/>
      <c r="I18" s="22"/>
    </row>
    <row r="19" spans="1:9" x14ac:dyDescent="0.35">
      <c r="A19" s="21" t="s">
        <v>71</v>
      </c>
      <c r="B19" s="21" t="s">
        <v>561</v>
      </c>
      <c r="C19" s="22" t="s">
        <v>554</v>
      </c>
      <c r="D19" s="23">
        <v>16</v>
      </c>
      <c r="E19" s="23">
        <v>16</v>
      </c>
      <c r="F19" s="23"/>
      <c r="G19" s="21" t="s">
        <v>541</v>
      </c>
      <c r="H19" s="21"/>
      <c r="I19" s="22"/>
    </row>
    <row r="20" spans="1:9" x14ac:dyDescent="0.35">
      <c r="A20" s="21" t="s">
        <v>71</v>
      </c>
      <c r="B20" s="21" t="s">
        <v>562</v>
      </c>
      <c r="C20" s="22" t="s">
        <v>554</v>
      </c>
      <c r="D20" s="23">
        <v>16</v>
      </c>
      <c r="E20" s="23">
        <v>5</v>
      </c>
      <c r="F20" s="23"/>
      <c r="G20" s="21" t="s">
        <v>541</v>
      </c>
      <c r="H20" s="21"/>
      <c r="I20" s="22"/>
    </row>
    <row r="21" spans="1:9" x14ac:dyDescent="0.35">
      <c r="A21" s="21" t="s">
        <v>71</v>
      </c>
      <c r="B21" s="21" t="s">
        <v>563</v>
      </c>
      <c r="C21" s="22" t="s">
        <v>554</v>
      </c>
      <c r="D21" s="23">
        <v>4</v>
      </c>
      <c r="E21" s="23">
        <v>0</v>
      </c>
      <c r="F21" s="23"/>
      <c r="G21" s="21" t="s">
        <v>541</v>
      </c>
      <c r="H21" s="21"/>
      <c r="I21" s="22" t="s">
        <v>564</v>
      </c>
    </row>
    <row r="22" spans="1:9" x14ac:dyDescent="0.35">
      <c r="A22" s="21" t="s">
        <v>71</v>
      </c>
      <c r="B22" s="21" t="s">
        <v>565</v>
      </c>
      <c r="C22" s="22" t="s">
        <v>554</v>
      </c>
      <c r="D22" s="23">
        <v>1</v>
      </c>
      <c r="E22" s="23">
        <v>1</v>
      </c>
      <c r="F22" s="23"/>
      <c r="G22" s="21" t="s">
        <v>541</v>
      </c>
      <c r="H22" s="21"/>
      <c r="I22" s="22"/>
    </row>
    <row r="23" spans="1:9" x14ac:dyDescent="0.35">
      <c r="A23" s="24" t="s">
        <v>48</v>
      </c>
      <c r="B23" s="24" t="s">
        <v>566</v>
      </c>
      <c r="C23" s="25" t="s">
        <v>554</v>
      </c>
      <c r="D23" s="26">
        <v>45</v>
      </c>
      <c r="E23" s="26">
        <v>2</v>
      </c>
      <c r="F23" s="26"/>
      <c r="G23" s="24" t="s">
        <v>541</v>
      </c>
      <c r="H23" s="24"/>
      <c r="I23" s="25"/>
    </row>
    <row r="24" spans="1:9" x14ac:dyDescent="0.35">
      <c r="A24" s="21" t="s">
        <v>48</v>
      </c>
      <c r="B24" s="21" t="s">
        <v>567</v>
      </c>
      <c r="C24" s="22" t="s">
        <v>554</v>
      </c>
      <c r="D24" s="23">
        <v>36</v>
      </c>
      <c r="E24" s="23">
        <v>1</v>
      </c>
      <c r="F24" s="23"/>
      <c r="G24" s="21" t="s">
        <v>541</v>
      </c>
      <c r="H24" s="21"/>
      <c r="I24" s="22"/>
    </row>
    <row r="25" spans="1:9" x14ac:dyDescent="0.35">
      <c r="A25" s="21" t="s">
        <v>48</v>
      </c>
      <c r="B25" s="21" t="s">
        <v>568</v>
      </c>
      <c r="C25" s="22" t="s">
        <v>554</v>
      </c>
      <c r="D25" s="23">
        <v>17</v>
      </c>
      <c r="E25" s="23">
        <v>17</v>
      </c>
      <c r="F25" s="23"/>
      <c r="G25" s="21" t="s">
        <v>541</v>
      </c>
      <c r="H25" s="21"/>
      <c r="I25" s="22"/>
    </row>
    <row r="26" spans="1:9" x14ac:dyDescent="0.35">
      <c r="A26" s="21" t="s">
        <v>48</v>
      </c>
      <c r="B26" s="21" t="s">
        <v>569</v>
      </c>
      <c r="C26" s="22" t="s">
        <v>554</v>
      </c>
      <c r="D26" s="23">
        <v>14</v>
      </c>
      <c r="E26" s="23">
        <v>14</v>
      </c>
      <c r="F26" s="23"/>
      <c r="G26" s="21" t="s">
        <v>541</v>
      </c>
      <c r="H26" s="21"/>
      <c r="I26" s="22"/>
    </row>
    <row r="27" spans="1:9" ht="37.5" customHeight="1" x14ac:dyDescent="0.35">
      <c r="A27" s="21" t="s">
        <v>48</v>
      </c>
      <c r="B27" s="21" t="s">
        <v>570</v>
      </c>
      <c r="C27" s="22" t="s">
        <v>554</v>
      </c>
      <c r="D27" s="23">
        <v>14</v>
      </c>
      <c r="E27" s="23">
        <v>0</v>
      </c>
      <c r="F27" s="23"/>
      <c r="G27" s="21" t="s">
        <v>541</v>
      </c>
      <c r="H27" s="21"/>
      <c r="I27" s="22" t="s">
        <v>571</v>
      </c>
    </row>
    <row r="28" spans="1:9" x14ac:dyDescent="0.35">
      <c r="A28" s="21" t="s">
        <v>48</v>
      </c>
      <c r="B28" s="21" t="s">
        <v>572</v>
      </c>
      <c r="C28" s="22" t="s">
        <v>554</v>
      </c>
      <c r="D28" s="23">
        <v>13</v>
      </c>
      <c r="E28" s="23">
        <v>0</v>
      </c>
      <c r="F28" s="23"/>
      <c r="G28" s="21" t="s">
        <v>541</v>
      </c>
      <c r="H28" s="21"/>
      <c r="I28" s="22" t="s">
        <v>573</v>
      </c>
    </row>
    <row r="29" spans="1:9" x14ac:dyDescent="0.35">
      <c r="A29" s="21" t="s">
        <v>48</v>
      </c>
      <c r="B29" s="21" t="s">
        <v>574</v>
      </c>
      <c r="C29" s="22" t="s">
        <v>554</v>
      </c>
      <c r="D29" s="23">
        <v>12</v>
      </c>
      <c r="E29" s="23">
        <v>13</v>
      </c>
      <c r="F29" s="23"/>
      <c r="G29" s="21" t="s">
        <v>541</v>
      </c>
      <c r="H29" s="21"/>
      <c r="I29" s="22"/>
    </row>
    <row r="30" spans="1:9" x14ac:dyDescent="0.35">
      <c r="A30" s="21" t="s">
        <v>48</v>
      </c>
      <c r="B30" s="21" t="s">
        <v>575</v>
      </c>
      <c r="C30" s="22" t="s">
        <v>554</v>
      </c>
      <c r="D30" s="23">
        <v>11</v>
      </c>
      <c r="E30" s="23">
        <v>11</v>
      </c>
      <c r="F30" s="23"/>
      <c r="G30" s="21" t="s">
        <v>541</v>
      </c>
      <c r="H30" s="21"/>
      <c r="I30" s="22"/>
    </row>
    <row r="31" spans="1:9" x14ac:dyDescent="0.35">
      <c r="A31" s="21" t="s">
        <v>48</v>
      </c>
      <c r="B31" s="21" t="s">
        <v>576</v>
      </c>
      <c r="C31" s="22" t="s">
        <v>554</v>
      </c>
      <c r="D31" s="23">
        <v>9</v>
      </c>
      <c r="E31" s="23">
        <v>4</v>
      </c>
      <c r="F31" s="23"/>
      <c r="G31" s="21" t="s">
        <v>541</v>
      </c>
      <c r="H31" s="21"/>
      <c r="I31" s="22"/>
    </row>
    <row r="32" spans="1:9" x14ac:dyDescent="0.35">
      <c r="A32" s="21" t="s">
        <v>48</v>
      </c>
      <c r="B32" s="21" t="s">
        <v>577</v>
      </c>
      <c r="C32" s="22" t="s">
        <v>554</v>
      </c>
      <c r="D32" s="23">
        <v>7</v>
      </c>
      <c r="E32" s="23">
        <v>5</v>
      </c>
      <c r="F32" s="23"/>
      <c r="G32" s="21" t="s">
        <v>541</v>
      </c>
      <c r="H32" s="21"/>
      <c r="I32" s="22"/>
    </row>
    <row r="33" spans="1:9" x14ac:dyDescent="0.35">
      <c r="A33" s="21" t="s">
        <v>48</v>
      </c>
      <c r="B33" s="21" t="s">
        <v>578</v>
      </c>
      <c r="C33" s="22" t="s">
        <v>554</v>
      </c>
      <c r="D33" s="23">
        <v>7</v>
      </c>
      <c r="E33" s="23">
        <v>0</v>
      </c>
      <c r="F33" s="23"/>
      <c r="G33" s="21" t="s">
        <v>541</v>
      </c>
      <c r="H33" s="21"/>
      <c r="I33" s="22" t="s">
        <v>579</v>
      </c>
    </row>
    <row r="34" spans="1:9" x14ac:dyDescent="0.35">
      <c r="A34" s="21" t="s">
        <v>48</v>
      </c>
      <c r="B34" s="21" t="s">
        <v>580</v>
      </c>
      <c r="C34" s="22" t="s">
        <v>554</v>
      </c>
      <c r="D34" s="23">
        <v>7</v>
      </c>
      <c r="E34" s="23">
        <v>0</v>
      </c>
      <c r="F34" s="23"/>
      <c r="G34" s="21" t="s">
        <v>541</v>
      </c>
      <c r="H34" s="21"/>
      <c r="I34" s="22" t="s">
        <v>579</v>
      </c>
    </row>
    <row r="35" spans="1:9" x14ac:dyDescent="0.35">
      <c r="A35" s="21" t="s">
        <v>48</v>
      </c>
      <c r="B35" s="21" t="s">
        <v>581</v>
      </c>
      <c r="C35" s="22" t="s">
        <v>554</v>
      </c>
      <c r="D35" s="23">
        <v>6</v>
      </c>
      <c r="E35" s="23">
        <v>6</v>
      </c>
      <c r="F35" s="23"/>
      <c r="G35" s="21" t="s">
        <v>541</v>
      </c>
      <c r="H35" s="21"/>
      <c r="I35" s="22"/>
    </row>
    <row r="36" spans="1:9" x14ac:dyDescent="0.35">
      <c r="A36" s="21" t="s">
        <v>48</v>
      </c>
      <c r="B36" s="21" t="s">
        <v>582</v>
      </c>
      <c r="C36" s="22" t="s">
        <v>554</v>
      </c>
      <c r="D36" s="23">
        <v>6</v>
      </c>
      <c r="E36" s="23">
        <v>6</v>
      </c>
      <c r="F36" s="23"/>
      <c r="G36" s="21" t="s">
        <v>541</v>
      </c>
      <c r="H36" s="21"/>
      <c r="I36" s="22"/>
    </row>
    <row r="37" spans="1:9" x14ac:dyDescent="0.35">
      <c r="A37" s="21" t="s">
        <v>48</v>
      </c>
      <c r="B37" s="21" t="s">
        <v>583</v>
      </c>
      <c r="C37" s="22" t="s">
        <v>554</v>
      </c>
      <c r="D37" s="23">
        <v>4</v>
      </c>
      <c r="E37" s="23">
        <v>1</v>
      </c>
      <c r="F37" s="23"/>
      <c r="G37" s="21" t="s">
        <v>541</v>
      </c>
      <c r="H37" s="21"/>
      <c r="I37" s="22"/>
    </row>
    <row r="38" spans="1:9" x14ac:dyDescent="0.35">
      <c r="A38" s="21" t="s">
        <v>48</v>
      </c>
      <c r="B38" s="21" t="s">
        <v>584</v>
      </c>
      <c r="C38" s="22" t="s">
        <v>554</v>
      </c>
      <c r="D38" s="23">
        <v>4</v>
      </c>
      <c r="E38" s="23">
        <v>1</v>
      </c>
      <c r="F38" s="23"/>
      <c r="G38" s="21" t="s">
        <v>541</v>
      </c>
      <c r="H38" s="21"/>
      <c r="I38" s="22"/>
    </row>
    <row r="39" spans="1:9" x14ac:dyDescent="0.35">
      <c r="A39" s="21" t="s">
        <v>48</v>
      </c>
      <c r="B39" s="21" t="s">
        <v>585</v>
      </c>
      <c r="C39" s="22" t="s">
        <v>554</v>
      </c>
      <c r="D39" s="23">
        <v>4</v>
      </c>
      <c r="E39" s="23">
        <v>0</v>
      </c>
      <c r="F39" s="23"/>
      <c r="G39" s="21" t="s">
        <v>541</v>
      </c>
      <c r="H39" s="21"/>
      <c r="I39" s="22" t="s">
        <v>586</v>
      </c>
    </row>
    <row r="40" spans="1:9" x14ac:dyDescent="0.35">
      <c r="A40" s="21" t="s">
        <v>48</v>
      </c>
      <c r="B40" s="21" t="s">
        <v>587</v>
      </c>
      <c r="C40" s="22" t="s">
        <v>554</v>
      </c>
      <c r="D40" s="23">
        <v>4</v>
      </c>
      <c r="E40" s="23">
        <v>0</v>
      </c>
      <c r="F40" s="23"/>
      <c r="G40" s="21" t="s">
        <v>541</v>
      </c>
      <c r="H40" s="21"/>
      <c r="I40" s="22" t="s">
        <v>586</v>
      </c>
    </row>
    <row r="41" spans="1:9" x14ac:dyDescent="0.35">
      <c r="A41" s="21" t="s">
        <v>48</v>
      </c>
      <c r="B41" s="21" t="s">
        <v>588</v>
      </c>
      <c r="C41" s="22" t="s">
        <v>554</v>
      </c>
      <c r="D41" s="23">
        <v>4</v>
      </c>
      <c r="E41" s="23">
        <v>0</v>
      </c>
      <c r="F41" s="23"/>
      <c r="G41" s="21" t="s">
        <v>541</v>
      </c>
      <c r="H41" s="21"/>
      <c r="I41" s="22" t="s">
        <v>586</v>
      </c>
    </row>
    <row r="42" spans="1:9" x14ac:dyDescent="0.35">
      <c r="A42" s="21" t="s">
        <v>48</v>
      </c>
      <c r="B42" s="21" t="s">
        <v>589</v>
      </c>
      <c r="C42" s="22" t="s">
        <v>554</v>
      </c>
      <c r="D42" s="23">
        <v>4</v>
      </c>
      <c r="E42" s="23">
        <v>0</v>
      </c>
      <c r="F42" s="23"/>
      <c r="G42" s="21" t="s">
        <v>541</v>
      </c>
      <c r="H42" s="21"/>
      <c r="I42" s="22" t="s">
        <v>586</v>
      </c>
    </row>
    <row r="43" spans="1:9" x14ac:dyDescent="0.35">
      <c r="A43" s="21" t="s">
        <v>48</v>
      </c>
      <c r="B43" s="21" t="s">
        <v>590</v>
      </c>
      <c r="C43" s="22" t="s">
        <v>554</v>
      </c>
      <c r="D43" s="23">
        <v>3</v>
      </c>
      <c r="E43" s="23">
        <v>3</v>
      </c>
      <c r="F43" s="23"/>
      <c r="G43" s="21" t="s">
        <v>541</v>
      </c>
      <c r="H43" s="21"/>
      <c r="I43" s="22"/>
    </row>
    <row r="44" spans="1:9" ht="24.75" customHeight="1" x14ac:dyDescent="0.35">
      <c r="A44" s="21" t="s">
        <v>48</v>
      </c>
      <c r="B44" s="21" t="s">
        <v>591</v>
      </c>
      <c r="C44" s="22" t="s">
        <v>554</v>
      </c>
      <c r="D44" s="23">
        <v>2</v>
      </c>
      <c r="E44" s="23">
        <v>0</v>
      </c>
      <c r="F44" s="23"/>
      <c r="G44" s="21" t="s">
        <v>541</v>
      </c>
      <c r="H44" s="21"/>
      <c r="I44" s="22" t="s">
        <v>592</v>
      </c>
    </row>
    <row r="45" spans="1:9" x14ac:dyDescent="0.35">
      <c r="A45" s="21" t="s">
        <v>48</v>
      </c>
      <c r="B45" s="21" t="s">
        <v>593</v>
      </c>
      <c r="C45" s="22" t="s">
        <v>554</v>
      </c>
      <c r="D45" s="23">
        <v>1</v>
      </c>
      <c r="E45" s="23">
        <v>1</v>
      </c>
      <c r="F45" s="23"/>
      <c r="G45" s="21" t="s">
        <v>541</v>
      </c>
      <c r="H45" s="21"/>
      <c r="I45" s="22"/>
    </row>
    <row r="46" spans="1:9" x14ac:dyDescent="0.35">
      <c r="A46" s="21" t="s">
        <v>48</v>
      </c>
      <c r="B46" s="21" t="s">
        <v>594</v>
      </c>
      <c r="C46" s="22" t="s">
        <v>554</v>
      </c>
      <c r="D46" s="23">
        <v>1</v>
      </c>
      <c r="E46" s="23">
        <v>1</v>
      </c>
      <c r="F46" s="23"/>
      <c r="G46" s="21" t="s">
        <v>541</v>
      </c>
      <c r="H46" s="21"/>
      <c r="I46" s="22"/>
    </row>
    <row r="47" spans="1:9" x14ac:dyDescent="0.35">
      <c r="A47" s="21" t="s">
        <v>48</v>
      </c>
      <c r="B47" s="21" t="s">
        <v>595</v>
      </c>
      <c r="C47" s="22" t="s">
        <v>554</v>
      </c>
      <c r="D47" s="23">
        <v>1</v>
      </c>
      <c r="E47" s="23">
        <v>1</v>
      </c>
      <c r="F47" s="23"/>
      <c r="G47" s="21" t="s">
        <v>541</v>
      </c>
      <c r="H47" s="21"/>
      <c r="I47" s="22"/>
    </row>
    <row r="48" spans="1:9" x14ac:dyDescent="0.35">
      <c r="A48" s="21" t="s">
        <v>48</v>
      </c>
      <c r="B48" s="21" t="s">
        <v>596</v>
      </c>
      <c r="C48" s="22" t="s">
        <v>554</v>
      </c>
      <c r="D48" s="23">
        <v>1</v>
      </c>
      <c r="E48" s="23">
        <v>1</v>
      </c>
      <c r="F48" s="23"/>
      <c r="G48" s="21" t="s">
        <v>541</v>
      </c>
      <c r="H48" s="21"/>
      <c r="I48" s="22"/>
    </row>
    <row r="49" spans="1:9" ht="37.5" customHeight="1" x14ac:dyDescent="0.35">
      <c r="A49" s="24" t="s">
        <v>544</v>
      </c>
      <c r="B49" s="24" t="s">
        <v>597</v>
      </c>
      <c r="C49" s="25" t="s">
        <v>554</v>
      </c>
      <c r="D49" s="26">
        <v>20</v>
      </c>
      <c r="E49" s="26">
        <v>0</v>
      </c>
      <c r="F49" s="26"/>
      <c r="G49" s="24" t="s">
        <v>541</v>
      </c>
      <c r="H49" s="24"/>
      <c r="I49" s="25" t="s">
        <v>598</v>
      </c>
    </row>
    <row r="50" spans="1:9" x14ac:dyDescent="0.35">
      <c r="A50" s="24" t="s">
        <v>260</v>
      </c>
      <c r="B50" s="24" t="s">
        <v>599</v>
      </c>
      <c r="C50" s="25" t="s">
        <v>554</v>
      </c>
      <c r="D50" s="26">
        <v>15</v>
      </c>
      <c r="E50" s="26">
        <v>15</v>
      </c>
      <c r="F50" s="26"/>
      <c r="G50" s="24" t="s">
        <v>541</v>
      </c>
      <c r="H50" s="24"/>
      <c r="I50" s="25"/>
    </row>
    <row r="51" spans="1:9" ht="24.75" customHeight="1" x14ac:dyDescent="0.35">
      <c r="A51" s="24" t="s">
        <v>545</v>
      </c>
      <c r="B51" s="24" t="s">
        <v>600</v>
      </c>
      <c r="C51" s="25" t="s">
        <v>601</v>
      </c>
      <c r="D51" s="26">
        <v>9</v>
      </c>
      <c r="E51" s="26">
        <v>9</v>
      </c>
      <c r="F51" s="26"/>
      <c r="G51" s="24" t="s">
        <v>541</v>
      </c>
      <c r="H51" s="24"/>
      <c r="I51" s="25" t="s">
        <v>602</v>
      </c>
    </row>
    <row r="52" spans="1:9" ht="24.75" customHeight="1" x14ac:dyDescent="0.35">
      <c r="A52" s="21" t="s">
        <v>545</v>
      </c>
      <c r="B52" s="21" t="s">
        <v>603</v>
      </c>
      <c r="C52" s="22" t="s">
        <v>601</v>
      </c>
      <c r="D52" s="23">
        <v>5</v>
      </c>
      <c r="E52" s="23">
        <v>4</v>
      </c>
      <c r="F52" s="23"/>
      <c r="G52" s="21" t="s">
        <v>541</v>
      </c>
      <c r="H52" s="21"/>
      <c r="I52" s="22" t="s">
        <v>602</v>
      </c>
    </row>
    <row r="53" spans="1:9" ht="24.75" customHeight="1" x14ac:dyDescent="0.35">
      <c r="A53" s="21" t="s">
        <v>545</v>
      </c>
      <c r="B53" s="21" t="s">
        <v>604</v>
      </c>
      <c r="C53" s="22" t="s">
        <v>601</v>
      </c>
      <c r="D53" s="23">
        <v>2</v>
      </c>
      <c r="E53" s="23">
        <v>2</v>
      </c>
      <c r="F53" s="23"/>
      <c r="G53" s="21" t="s">
        <v>541</v>
      </c>
      <c r="H53" s="21"/>
      <c r="I53" s="22" t="s">
        <v>602</v>
      </c>
    </row>
    <row r="54" spans="1:9" ht="24.75" customHeight="1" x14ac:dyDescent="0.35">
      <c r="A54" s="21" t="s">
        <v>545</v>
      </c>
      <c r="B54" s="21" t="s">
        <v>605</v>
      </c>
      <c r="C54" s="22" t="s">
        <v>601</v>
      </c>
      <c r="D54" s="23">
        <v>1</v>
      </c>
      <c r="E54" s="23">
        <v>1</v>
      </c>
      <c r="F54" s="23"/>
      <c r="G54" s="21" t="s">
        <v>541</v>
      </c>
      <c r="H54" s="21"/>
      <c r="I54" s="22" t="s">
        <v>602</v>
      </c>
    </row>
    <row r="55" spans="1:9" ht="24.75" customHeight="1" x14ac:dyDescent="0.35">
      <c r="A55" s="21" t="s">
        <v>545</v>
      </c>
      <c r="B55" s="21" t="s">
        <v>606</v>
      </c>
      <c r="C55" s="22" t="s">
        <v>601</v>
      </c>
      <c r="D55" s="23">
        <v>1</v>
      </c>
      <c r="E55" s="23">
        <v>1</v>
      </c>
      <c r="F55" s="23"/>
      <c r="G55" s="21" t="s">
        <v>541</v>
      </c>
      <c r="H55" s="21"/>
      <c r="I55" s="22" t="s">
        <v>602</v>
      </c>
    </row>
  </sheetData>
  <autoFilter ref="A13:I55" xr:uid="{00000000-0009-0000-0000-000002000000}"/>
  <mergeCells count="1">
    <mergeCell ref="A2:I3"/>
  </mergeCells>
  <dataValidations count="1">
    <dataValidation type="list" allowBlank="1" errorTitle="Not in the list" error="Pick a value from the list on the Status key tab" sqref="G14:G55" xr:uid="{00000000-0002-0000-0200-000000000000}">
      <formula1>MigrationList</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31"/>
  <sheetViews>
    <sheetView zoomScaleNormal="100" workbookViewId="0">
      <pane ySplit="1" topLeftCell="A271" activePane="bottomLeft" state="frozen"/>
      <selection activeCell="E1" sqref="E1"/>
      <selection pane="bottomLeft" activeCell="B20" sqref="B20"/>
    </sheetView>
  </sheetViews>
  <sheetFormatPr defaultColWidth="8.6328125" defaultRowHeight="14.5" x14ac:dyDescent="0.35"/>
  <cols>
    <col min="1" max="1" width="14" customWidth="1"/>
    <col min="2" max="2" width="52" customWidth="1"/>
    <col min="3" max="3" width="10" customWidth="1"/>
    <col min="4" max="4" width="14" customWidth="1"/>
    <col min="5" max="5" width="10" customWidth="1"/>
    <col min="6" max="7" width="15" customWidth="1"/>
    <col min="8" max="8" width="40" customWidth="1"/>
    <col min="9" max="9" width="20" customWidth="1"/>
    <col min="10" max="10" width="18" customWidth="1"/>
    <col min="11" max="11" width="24" customWidth="1"/>
    <col min="12" max="12" width="34" customWidth="1"/>
  </cols>
  <sheetData>
    <row r="1" spans="1:12" ht="21.75" customHeight="1" x14ac:dyDescent="0.35">
      <c r="A1" s="3" t="s">
        <v>35</v>
      </c>
      <c r="B1" s="3" t="s">
        <v>36</v>
      </c>
      <c r="C1" s="3" t="s">
        <v>5</v>
      </c>
      <c r="D1" s="3" t="s">
        <v>6</v>
      </c>
      <c r="E1" s="3" t="s">
        <v>37</v>
      </c>
      <c r="F1" s="3" t="s">
        <v>38</v>
      </c>
      <c r="G1" s="3" t="s">
        <v>39</v>
      </c>
      <c r="H1" s="3" t="s">
        <v>40</v>
      </c>
      <c r="I1" s="3" t="s">
        <v>41</v>
      </c>
      <c r="J1" s="3" t="s">
        <v>42</v>
      </c>
      <c r="K1" s="3" t="s">
        <v>43</v>
      </c>
      <c r="L1" s="3" t="s">
        <v>44</v>
      </c>
    </row>
    <row r="2" spans="1:12" ht="14.25" customHeight="1" x14ac:dyDescent="0.35">
      <c r="A2" s="15" t="s">
        <v>45</v>
      </c>
      <c r="B2" s="16" t="s">
        <v>46</v>
      </c>
      <c r="C2" s="15" t="s">
        <v>21</v>
      </c>
      <c r="D2" s="15" t="s">
        <v>22</v>
      </c>
      <c r="E2" s="15" t="s">
        <v>47</v>
      </c>
      <c r="F2" s="15">
        <v>70</v>
      </c>
      <c r="G2" s="15" t="s">
        <v>8</v>
      </c>
      <c r="H2" s="16"/>
      <c r="I2" s="15" t="s">
        <v>17</v>
      </c>
      <c r="J2" s="15" t="s">
        <v>48</v>
      </c>
      <c r="K2" s="15" t="s">
        <v>19</v>
      </c>
      <c r="L2" s="16"/>
    </row>
    <row r="3" spans="1:12" ht="14.25" customHeight="1" x14ac:dyDescent="0.35">
      <c r="A3" s="15" t="s">
        <v>49</v>
      </c>
      <c r="B3" s="16" t="s">
        <v>50</v>
      </c>
      <c r="C3" s="15" t="s">
        <v>21</v>
      </c>
      <c r="D3" s="15" t="s">
        <v>22</v>
      </c>
      <c r="E3" s="15" t="s">
        <v>47</v>
      </c>
      <c r="F3" s="15">
        <v>71</v>
      </c>
      <c r="G3" s="15" t="s">
        <v>8</v>
      </c>
      <c r="H3" s="16"/>
      <c r="I3" s="15" t="s">
        <v>17</v>
      </c>
      <c r="J3" s="15" t="s">
        <v>48</v>
      </c>
      <c r="K3" s="15" t="s">
        <v>19</v>
      </c>
      <c r="L3" s="16"/>
    </row>
    <row r="4" spans="1:12" ht="14.25" customHeight="1" x14ac:dyDescent="0.35">
      <c r="A4" s="15" t="s">
        <v>51</v>
      </c>
      <c r="B4" s="16" t="s">
        <v>52</v>
      </c>
      <c r="C4" s="15" t="s">
        <v>21</v>
      </c>
      <c r="D4" s="15" t="s">
        <v>22</v>
      </c>
      <c r="E4" s="15" t="s">
        <v>53</v>
      </c>
      <c r="F4" s="15">
        <v>72</v>
      </c>
      <c r="G4" s="15" t="s">
        <v>8</v>
      </c>
      <c r="H4" s="16"/>
      <c r="I4" s="15" t="s">
        <v>17</v>
      </c>
      <c r="J4" s="15" t="s">
        <v>48</v>
      </c>
      <c r="K4" s="15" t="s">
        <v>19</v>
      </c>
      <c r="L4" s="16"/>
    </row>
    <row r="5" spans="1:12" ht="14.25" customHeight="1" x14ac:dyDescent="0.35">
      <c r="A5" s="15" t="s">
        <v>54</v>
      </c>
      <c r="B5" s="16" t="s">
        <v>55</v>
      </c>
      <c r="C5" s="15" t="s">
        <v>21</v>
      </c>
      <c r="D5" s="15" t="s">
        <v>22</v>
      </c>
      <c r="E5" s="15" t="s">
        <v>53</v>
      </c>
      <c r="F5" s="15">
        <v>73</v>
      </c>
      <c r="G5" s="15" t="s">
        <v>8</v>
      </c>
      <c r="H5" s="16"/>
      <c r="I5" s="15" t="s">
        <v>17</v>
      </c>
      <c r="J5" s="15" t="s">
        <v>48</v>
      </c>
      <c r="K5" s="15" t="s">
        <v>19</v>
      </c>
      <c r="L5" s="16"/>
    </row>
    <row r="6" spans="1:12" ht="14.25" customHeight="1" x14ac:dyDescent="0.35">
      <c r="A6" s="15" t="s">
        <v>56</v>
      </c>
      <c r="B6" s="16" t="s">
        <v>57</v>
      </c>
      <c r="C6" s="15" t="s">
        <v>21</v>
      </c>
      <c r="D6" s="15" t="s">
        <v>22</v>
      </c>
      <c r="E6" s="15" t="s">
        <v>47</v>
      </c>
      <c r="F6" s="15">
        <v>74</v>
      </c>
      <c r="G6" s="15" t="s">
        <v>8</v>
      </c>
      <c r="H6" s="16"/>
      <c r="I6" s="15" t="s">
        <v>17</v>
      </c>
      <c r="J6" s="15" t="s">
        <v>48</v>
      </c>
      <c r="K6" s="15" t="s">
        <v>18</v>
      </c>
      <c r="L6" s="16"/>
    </row>
    <row r="7" spans="1:12" ht="14.25" customHeight="1" x14ac:dyDescent="0.35">
      <c r="A7" s="15" t="s">
        <v>58</v>
      </c>
      <c r="B7" s="16" t="s">
        <v>57</v>
      </c>
      <c r="C7" s="15" t="s">
        <v>21</v>
      </c>
      <c r="D7" s="15" t="s">
        <v>22</v>
      </c>
      <c r="E7" s="15" t="s">
        <v>47</v>
      </c>
      <c r="F7" s="15">
        <v>75</v>
      </c>
      <c r="G7" s="15" t="s">
        <v>8</v>
      </c>
      <c r="H7" s="16"/>
      <c r="I7" s="15" t="s">
        <v>17</v>
      </c>
      <c r="J7" s="15" t="s">
        <v>48</v>
      </c>
      <c r="K7" s="15" t="s">
        <v>19</v>
      </c>
      <c r="L7" s="16"/>
    </row>
    <row r="8" spans="1:12" ht="14.25" customHeight="1" x14ac:dyDescent="0.35">
      <c r="A8" s="15" t="s">
        <v>59</v>
      </c>
      <c r="B8" s="16" t="s">
        <v>60</v>
      </c>
      <c r="C8" s="15" t="s">
        <v>21</v>
      </c>
      <c r="D8" s="15" t="s">
        <v>22</v>
      </c>
      <c r="E8" s="15" t="s">
        <v>47</v>
      </c>
      <c r="F8" s="15">
        <v>76</v>
      </c>
      <c r="G8" s="15" t="s">
        <v>8</v>
      </c>
      <c r="H8" s="16"/>
      <c r="I8" s="15" t="s">
        <v>17</v>
      </c>
      <c r="J8" s="15" t="s">
        <v>48</v>
      </c>
      <c r="K8" s="15" t="s">
        <v>18</v>
      </c>
      <c r="L8" s="16"/>
    </row>
    <row r="9" spans="1:12" ht="14.25" customHeight="1" x14ac:dyDescent="0.35">
      <c r="A9" s="15" t="s">
        <v>61</v>
      </c>
      <c r="B9" s="16" t="s">
        <v>62</v>
      </c>
      <c r="C9" s="15" t="s">
        <v>21</v>
      </c>
      <c r="D9" s="15" t="s">
        <v>22</v>
      </c>
      <c r="E9" s="15" t="s">
        <v>47</v>
      </c>
      <c r="F9" s="15">
        <v>77</v>
      </c>
      <c r="G9" s="15" t="s">
        <v>8</v>
      </c>
      <c r="H9" s="16"/>
      <c r="I9" s="15" t="s">
        <v>17</v>
      </c>
      <c r="J9" s="15" t="s">
        <v>48</v>
      </c>
      <c r="K9" s="15" t="s">
        <v>18</v>
      </c>
      <c r="L9" s="16" t="s">
        <v>63</v>
      </c>
    </row>
    <row r="10" spans="1:12" ht="14.25" customHeight="1" x14ac:dyDescent="0.35">
      <c r="A10" s="15" t="s">
        <v>64</v>
      </c>
      <c r="B10" s="16" t="s">
        <v>65</v>
      </c>
      <c r="C10" s="15" t="s">
        <v>21</v>
      </c>
      <c r="D10" s="15" t="s">
        <v>22</v>
      </c>
      <c r="E10" s="15" t="s">
        <v>47</v>
      </c>
      <c r="F10" s="15">
        <v>78</v>
      </c>
      <c r="G10" s="15" t="s">
        <v>8</v>
      </c>
      <c r="H10" s="16"/>
      <c r="I10" s="15" t="s">
        <v>17</v>
      </c>
      <c r="J10" s="15" t="s">
        <v>48</v>
      </c>
      <c r="K10" s="15" t="s">
        <v>19</v>
      </c>
      <c r="L10" s="16" t="s">
        <v>63</v>
      </c>
    </row>
    <row r="11" spans="1:12" ht="14.25" customHeight="1" x14ac:dyDescent="0.35">
      <c r="A11" s="15" t="s">
        <v>66</v>
      </c>
      <c r="B11" s="16" t="s">
        <v>67</v>
      </c>
      <c r="C11" s="15" t="s">
        <v>21</v>
      </c>
      <c r="D11" s="15" t="s">
        <v>22</v>
      </c>
      <c r="E11" s="15" t="s">
        <v>68</v>
      </c>
      <c r="F11" s="15">
        <v>79</v>
      </c>
      <c r="G11" s="15" t="s">
        <v>8</v>
      </c>
      <c r="H11" s="16"/>
      <c r="I11" s="15" t="s">
        <v>17</v>
      </c>
      <c r="J11" s="15" t="s">
        <v>48</v>
      </c>
      <c r="K11" s="15" t="s">
        <v>19</v>
      </c>
      <c r="L11" s="16"/>
    </row>
    <row r="12" spans="1:12" ht="14.25" customHeight="1" x14ac:dyDescent="0.35">
      <c r="A12" s="15" t="s">
        <v>69</v>
      </c>
      <c r="B12" s="16" t="s">
        <v>70</v>
      </c>
      <c r="C12" s="15" t="s">
        <v>21</v>
      </c>
      <c r="D12" s="15" t="s">
        <v>22</v>
      </c>
      <c r="E12" s="15" t="s">
        <v>47</v>
      </c>
      <c r="F12" s="15">
        <v>80</v>
      </c>
      <c r="G12" s="15" t="s">
        <v>8</v>
      </c>
      <c r="H12" s="16"/>
      <c r="I12" s="15" t="s">
        <v>17</v>
      </c>
      <c r="J12" s="15" t="s">
        <v>71</v>
      </c>
      <c r="K12" s="15" t="s">
        <v>18</v>
      </c>
      <c r="L12" s="16" t="s">
        <v>72</v>
      </c>
    </row>
    <row r="13" spans="1:12" ht="14.25" customHeight="1" x14ac:dyDescent="0.35">
      <c r="A13" s="15" t="s">
        <v>73</v>
      </c>
      <c r="B13" s="16" t="s">
        <v>74</v>
      </c>
      <c r="C13" s="15" t="s">
        <v>21</v>
      </c>
      <c r="D13" s="15" t="s">
        <v>22</v>
      </c>
      <c r="E13" s="15" t="s">
        <v>75</v>
      </c>
      <c r="F13" s="15">
        <v>81</v>
      </c>
      <c r="G13" s="15" t="s">
        <v>8</v>
      </c>
      <c r="H13" s="16"/>
      <c r="I13" s="15" t="s">
        <v>17</v>
      </c>
      <c r="J13" s="15" t="s">
        <v>71</v>
      </c>
      <c r="K13" s="15" t="s">
        <v>19</v>
      </c>
      <c r="L13" s="16"/>
    </row>
    <row r="14" spans="1:12" ht="14.25" customHeight="1" x14ac:dyDescent="0.35">
      <c r="A14" s="15" t="s">
        <v>76</v>
      </c>
      <c r="B14" s="16" t="s">
        <v>77</v>
      </c>
      <c r="C14" s="15" t="s">
        <v>21</v>
      </c>
      <c r="D14" s="15" t="s">
        <v>22</v>
      </c>
      <c r="E14" s="15" t="s">
        <v>75</v>
      </c>
      <c r="F14" s="15">
        <v>82</v>
      </c>
      <c r="G14" s="15" t="s">
        <v>8</v>
      </c>
      <c r="H14" s="16"/>
      <c r="I14" s="15" t="s">
        <v>17</v>
      </c>
      <c r="J14" s="15" t="s">
        <v>71</v>
      </c>
      <c r="K14" s="15" t="s">
        <v>19</v>
      </c>
      <c r="L14" s="16"/>
    </row>
    <row r="15" spans="1:12" ht="14.25" customHeight="1" x14ac:dyDescent="0.35">
      <c r="A15" s="15" t="s">
        <v>78</v>
      </c>
      <c r="B15" s="16" t="s">
        <v>79</v>
      </c>
      <c r="C15" s="15" t="s">
        <v>21</v>
      </c>
      <c r="D15" s="15" t="s">
        <v>22</v>
      </c>
      <c r="E15" s="15" t="s">
        <v>80</v>
      </c>
      <c r="F15" s="15">
        <v>83</v>
      </c>
      <c r="G15" s="15" t="s">
        <v>8</v>
      </c>
      <c r="H15" s="16"/>
      <c r="I15" s="15" t="s">
        <v>17</v>
      </c>
      <c r="J15" s="15" t="s">
        <v>81</v>
      </c>
      <c r="K15" s="15" t="s">
        <v>18</v>
      </c>
      <c r="L15" s="16" t="s">
        <v>72</v>
      </c>
    </row>
    <row r="16" spans="1:12" ht="14.25" customHeight="1" x14ac:dyDescent="0.35">
      <c r="A16" s="15" t="s">
        <v>82</v>
      </c>
      <c r="B16" s="16" t="s">
        <v>83</v>
      </c>
      <c r="C16" s="15" t="s">
        <v>21</v>
      </c>
      <c r="D16" s="15" t="s">
        <v>22</v>
      </c>
      <c r="E16" s="15" t="s">
        <v>47</v>
      </c>
      <c r="F16" s="15">
        <v>84</v>
      </c>
      <c r="G16" s="15" t="s">
        <v>8</v>
      </c>
      <c r="H16" s="16"/>
      <c r="I16" s="15" t="s">
        <v>17</v>
      </c>
      <c r="J16" s="15" t="s">
        <v>81</v>
      </c>
      <c r="K16" s="15" t="s">
        <v>18</v>
      </c>
      <c r="L16" s="16" t="s">
        <v>72</v>
      </c>
    </row>
    <row r="17" spans="1:12" ht="14.25" customHeight="1" x14ac:dyDescent="0.35">
      <c r="A17" s="15" t="s">
        <v>84</v>
      </c>
      <c r="B17" s="16" t="s">
        <v>50</v>
      </c>
      <c r="C17" s="15" t="s">
        <v>21</v>
      </c>
      <c r="D17" s="15" t="s">
        <v>22</v>
      </c>
      <c r="E17" s="15" t="s">
        <v>75</v>
      </c>
      <c r="F17" s="15">
        <v>85</v>
      </c>
      <c r="G17" s="15" t="s">
        <v>8</v>
      </c>
      <c r="H17" s="16"/>
      <c r="I17" s="15" t="s">
        <v>17</v>
      </c>
      <c r="J17" s="15" t="s">
        <v>48</v>
      </c>
      <c r="K17" s="15" t="s">
        <v>18</v>
      </c>
      <c r="L17" s="16"/>
    </row>
    <row r="18" spans="1:12" ht="14.25" customHeight="1" x14ac:dyDescent="0.35">
      <c r="A18" s="15" t="s">
        <v>85</v>
      </c>
      <c r="B18" s="16" t="s">
        <v>86</v>
      </c>
      <c r="C18" s="15" t="s">
        <v>21</v>
      </c>
      <c r="D18" s="15" t="s">
        <v>22</v>
      </c>
      <c r="E18" s="15" t="s">
        <v>75</v>
      </c>
      <c r="F18" s="15">
        <v>86</v>
      </c>
      <c r="G18" s="15" t="s">
        <v>8</v>
      </c>
      <c r="H18" s="16"/>
      <c r="I18" s="15" t="s">
        <v>17</v>
      </c>
      <c r="J18" s="15" t="s">
        <v>71</v>
      </c>
      <c r="K18" s="15" t="s">
        <v>18</v>
      </c>
      <c r="L18" s="16"/>
    </row>
    <row r="19" spans="1:12" ht="23.25" customHeight="1" x14ac:dyDescent="0.35">
      <c r="A19" s="15" t="s">
        <v>87</v>
      </c>
      <c r="B19" s="16" t="s">
        <v>88</v>
      </c>
      <c r="C19" s="15" t="s">
        <v>21</v>
      </c>
      <c r="D19" s="15" t="s">
        <v>22</v>
      </c>
      <c r="E19" s="15" t="s">
        <v>75</v>
      </c>
      <c r="F19" s="15">
        <v>87</v>
      </c>
      <c r="G19" s="15" t="s">
        <v>8</v>
      </c>
      <c r="H19" s="16"/>
      <c r="I19" s="15" t="s">
        <v>17</v>
      </c>
      <c r="J19" s="15" t="s">
        <v>71</v>
      </c>
      <c r="K19" s="15" t="s">
        <v>18</v>
      </c>
      <c r="L19" s="16"/>
    </row>
    <row r="20" spans="1:12" ht="23.25" customHeight="1" x14ac:dyDescent="0.35">
      <c r="A20" s="15" t="s">
        <v>89</v>
      </c>
      <c r="B20" s="16" t="s">
        <v>90</v>
      </c>
      <c r="C20" s="15" t="s">
        <v>21</v>
      </c>
      <c r="D20" s="15" t="s">
        <v>22</v>
      </c>
      <c r="E20" s="15" t="s">
        <v>75</v>
      </c>
      <c r="F20" s="15">
        <v>88</v>
      </c>
      <c r="G20" s="15" t="s">
        <v>8</v>
      </c>
      <c r="H20" s="16"/>
      <c r="I20" s="15" t="s">
        <v>17</v>
      </c>
      <c r="J20" s="15" t="s">
        <v>71</v>
      </c>
      <c r="K20" s="15" t="s">
        <v>18</v>
      </c>
      <c r="L20" s="16"/>
    </row>
    <row r="21" spans="1:12" ht="14.25" customHeight="1" x14ac:dyDescent="0.35">
      <c r="A21" s="15" t="s">
        <v>91</v>
      </c>
      <c r="B21" s="16" t="s">
        <v>86</v>
      </c>
      <c r="C21" s="15" t="s">
        <v>21</v>
      </c>
      <c r="D21" s="15" t="s">
        <v>22</v>
      </c>
      <c r="E21" s="15" t="s">
        <v>75</v>
      </c>
      <c r="F21" s="15">
        <v>89</v>
      </c>
      <c r="G21" s="15" t="s">
        <v>8</v>
      </c>
      <c r="H21" s="16"/>
      <c r="I21" s="15" t="s">
        <v>17</v>
      </c>
      <c r="J21" s="15" t="s">
        <v>71</v>
      </c>
      <c r="K21" s="15" t="s">
        <v>18</v>
      </c>
      <c r="L21" s="16"/>
    </row>
    <row r="22" spans="1:12" ht="14.25" customHeight="1" x14ac:dyDescent="0.35">
      <c r="A22" s="15" t="s">
        <v>92</v>
      </c>
      <c r="B22" s="16" t="s">
        <v>93</v>
      </c>
      <c r="C22" s="15" t="s">
        <v>21</v>
      </c>
      <c r="D22" s="15" t="s">
        <v>22</v>
      </c>
      <c r="E22" s="15" t="s">
        <v>75</v>
      </c>
      <c r="F22" s="15">
        <v>90</v>
      </c>
      <c r="G22" s="15" t="s">
        <v>8</v>
      </c>
      <c r="H22" s="16"/>
      <c r="I22" s="15" t="s">
        <v>17</v>
      </c>
      <c r="J22" s="15" t="s">
        <v>71</v>
      </c>
      <c r="K22" s="15" t="s">
        <v>18</v>
      </c>
      <c r="L22" s="16"/>
    </row>
    <row r="23" spans="1:12" ht="14.25" customHeight="1" x14ac:dyDescent="0.35">
      <c r="A23" s="15" t="s">
        <v>94</v>
      </c>
      <c r="B23" s="16" t="s">
        <v>95</v>
      </c>
      <c r="C23" s="15" t="s">
        <v>21</v>
      </c>
      <c r="D23" s="15" t="s">
        <v>22</v>
      </c>
      <c r="E23" s="15" t="s">
        <v>47</v>
      </c>
      <c r="F23" s="15">
        <v>91</v>
      </c>
      <c r="G23" s="15" t="s">
        <v>8</v>
      </c>
      <c r="H23" s="16"/>
      <c r="I23" s="15" t="s">
        <v>17</v>
      </c>
      <c r="J23" s="15" t="s">
        <v>48</v>
      </c>
      <c r="K23" s="15" t="s">
        <v>19</v>
      </c>
      <c r="L23" s="16"/>
    </row>
    <row r="24" spans="1:12" ht="14.25" customHeight="1" x14ac:dyDescent="0.35">
      <c r="A24" s="15" t="s">
        <v>96</v>
      </c>
      <c r="B24" s="16" t="s">
        <v>97</v>
      </c>
      <c r="C24" s="15" t="s">
        <v>21</v>
      </c>
      <c r="D24" s="15" t="s">
        <v>22</v>
      </c>
      <c r="E24" s="15" t="s">
        <v>75</v>
      </c>
      <c r="F24" s="15">
        <v>92</v>
      </c>
      <c r="G24" s="15" t="s">
        <v>8</v>
      </c>
      <c r="H24" s="16"/>
      <c r="I24" s="15" t="s">
        <v>17</v>
      </c>
      <c r="J24" s="15" t="s">
        <v>71</v>
      </c>
      <c r="K24" s="15" t="s">
        <v>18</v>
      </c>
      <c r="L24" s="16"/>
    </row>
    <row r="25" spans="1:12" ht="14.25" customHeight="1" x14ac:dyDescent="0.35">
      <c r="A25" s="15" t="s">
        <v>98</v>
      </c>
      <c r="B25" s="16" t="s">
        <v>99</v>
      </c>
      <c r="C25" s="15" t="s">
        <v>21</v>
      </c>
      <c r="D25" s="15" t="s">
        <v>22</v>
      </c>
      <c r="E25" s="15" t="s">
        <v>75</v>
      </c>
      <c r="F25" s="15">
        <v>93</v>
      </c>
      <c r="G25" s="15" t="s">
        <v>8</v>
      </c>
      <c r="H25" s="16"/>
      <c r="I25" s="15" t="s">
        <v>17</v>
      </c>
      <c r="J25" s="15" t="s">
        <v>100</v>
      </c>
      <c r="K25" s="15" t="s">
        <v>18</v>
      </c>
      <c r="L25" s="16"/>
    </row>
    <row r="26" spans="1:12" ht="14.25" customHeight="1" x14ac:dyDescent="0.35">
      <c r="A26" s="15" t="s">
        <v>101</v>
      </c>
      <c r="B26" s="16" t="s">
        <v>102</v>
      </c>
      <c r="C26" s="15" t="s">
        <v>21</v>
      </c>
      <c r="D26" s="15" t="s">
        <v>22</v>
      </c>
      <c r="E26" s="15" t="s">
        <v>75</v>
      </c>
      <c r="F26" s="15">
        <v>94</v>
      </c>
      <c r="G26" s="15" t="s">
        <v>8</v>
      </c>
      <c r="H26" s="16"/>
      <c r="I26" s="15" t="s">
        <v>17</v>
      </c>
      <c r="J26" s="15" t="s">
        <v>71</v>
      </c>
      <c r="K26" s="15" t="s">
        <v>18</v>
      </c>
      <c r="L26" s="16"/>
    </row>
    <row r="27" spans="1:12" ht="14.25" customHeight="1" x14ac:dyDescent="0.35">
      <c r="A27" s="15" t="s">
        <v>103</v>
      </c>
      <c r="B27" s="16" t="s">
        <v>86</v>
      </c>
      <c r="C27" s="15" t="s">
        <v>21</v>
      </c>
      <c r="D27" s="15" t="s">
        <v>22</v>
      </c>
      <c r="E27" s="15" t="s">
        <v>75</v>
      </c>
      <c r="F27" s="15">
        <v>95</v>
      </c>
      <c r="G27" s="15" t="s">
        <v>8</v>
      </c>
      <c r="H27" s="16"/>
      <c r="I27" s="15" t="s">
        <v>17</v>
      </c>
      <c r="J27" s="15" t="s">
        <v>71</v>
      </c>
      <c r="K27" s="15" t="s">
        <v>18</v>
      </c>
      <c r="L27" s="16"/>
    </row>
    <row r="28" spans="1:12" ht="14.25" customHeight="1" x14ac:dyDescent="0.35">
      <c r="A28" s="15" t="s">
        <v>104</v>
      </c>
      <c r="B28" s="16" t="s">
        <v>105</v>
      </c>
      <c r="C28" s="15" t="s">
        <v>21</v>
      </c>
      <c r="D28" s="15" t="s">
        <v>22</v>
      </c>
      <c r="E28" s="15" t="s">
        <v>75</v>
      </c>
      <c r="F28" s="15">
        <v>96</v>
      </c>
      <c r="G28" s="15" t="s">
        <v>8</v>
      </c>
      <c r="H28" s="16"/>
      <c r="I28" s="15" t="s">
        <v>17</v>
      </c>
      <c r="J28" s="15" t="s">
        <v>100</v>
      </c>
      <c r="K28" s="15" t="s">
        <v>18</v>
      </c>
      <c r="L28" s="16"/>
    </row>
    <row r="29" spans="1:12" ht="14.25" customHeight="1" x14ac:dyDescent="0.35">
      <c r="A29" s="15" t="s">
        <v>106</v>
      </c>
      <c r="B29" s="16" t="s">
        <v>86</v>
      </c>
      <c r="C29" s="15" t="s">
        <v>21</v>
      </c>
      <c r="D29" s="15" t="s">
        <v>22</v>
      </c>
      <c r="E29" s="15" t="s">
        <v>75</v>
      </c>
      <c r="F29" s="15">
        <v>97</v>
      </c>
      <c r="G29" s="15" t="s">
        <v>8</v>
      </c>
      <c r="H29" s="16"/>
      <c r="I29" s="15" t="s">
        <v>17</v>
      </c>
      <c r="J29" s="15" t="s">
        <v>71</v>
      </c>
      <c r="K29" s="15" t="s">
        <v>18</v>
      </c>
      <c r="L29" s="16"/>
    </row>
    <row r="30" spans="1:12" ht="14.25" customHeight="1" x14ac:dyDescent="0.35">
      <c r="A30" s="15" t="s">
        <v>107</v>
      </c>
      <c r="B30" s="16" t="s">
        <v>108</v>
      </c>
      <c r="C30" s="15" t="s">
        <v>21</v>
      </c>
      <c r="D30" s="15" t="s">
        <v>22</v>
      </c>
      <c r="E30" s="15" t="s">
        <v>75</v>
      </c>
      <c r="F30" s="15">
        <v>98</v>
      </c>
      <c r="G30" s="15" t="s">
        <v>8</v>
      </c>
      <c r="H30" s="16"/>
      <c r="I30" s="15" t="s">
        <v>17</v>
      </c>
      <c r="J30" s="15" t="s">
        <v>100</v>
      </c>
      <c r="K30" s="15" t="s">
        <v>18</v>
      </c>
      <c r="L30" s="16"/>
    </row>
    <row r="31" spans="1:12" ht="14.25" customHeight="1" x14ac:dyDescent="0.35">
      <c r="A31" s="15" t="s">
        <v>109</v>
      </c>
      <c r="B31" s="16" t="s">
        <v>110</v>
      </c>
      <c r="C31" s="15" t="s">
        <v>21</v>
      </c>
      <c r="D31" s="15" t="s">
        <v>22</v>
      </c>
      <c r="E31" s="15" t="s">
        <v>75</v>
      </c>
      <c r="F31" s="15">
        <v>99</v>
      </c>
      <c r="G31" s="15" t="s">
        <v>8</v>
      </c>
      <c r="H31" s="16"/>
      <c r="I31" s="15" t="s">
        <v>17</v>
      </c>
      <c r="J31" s="15" t="s">
        <v>71</v>
      </c>
      <c r="K31" s="15" t="s">
        <v>18</v>
      </c>
      <c r="L31" s="16"/>
    </row>
    <row r="32" spans="1:12" ht="14.25" customHeight="1" x14ac:dyDescent="0.35">
      <c r="A32" s="15" t="s">
        <v>111</v>
      </c>
      <c r="B32" s="16" t="s">
        <v>86</v>
      </c>
      <c r="C32" s="15" t="s">
        <v>21</v>
      </c>
      <c r="D32" s="15" t="s">
        <v>22</v>
      </c>
      <c r="E32" s="15" t="s">
        <v>75</v>
      </c>
      <c r="F32" s="15">
        <v>100</v>
      </c>
      <c r="G32" s="15" t="s">
        <v>8</v>
      </c>
      <c r="H32" s="16"/>
      <c r="I32" s="15" t="s">
        <v>17</v>
      </c>
      <c r="J32" s="15" t="s">
        <v>71</v>
      </c>
      <c r="K32" s="15" t="s">
        <v>18</v>
      </c>
      <c r="L32" s="16"/>
    </row>
    <row r="33" spans="1:12" ht="14.25" customHeight="1" x14ac:dyDescent="0.35">
      <c r="A33" s="15" t="s">
        <v>112</v>
      </c>
      <c r="B33" s="16" t="s">
        <v>86</v>
      </c>
      <c r="C33" s="15" t="s">
        <v>21</v>
      </c>
      <c r="D33" s="15" t="s">
        <v>22</v>
      </c>
      <c r="E33" s="15" t="s">
        <v>75</v>
      </c>
      <c r="F33" s="15">
        <v>101</v>
      </c>
      <c r="G33" s="15" t="s">
        <v>8</v>
      </c>
      <c r="H33" s="16"/>
      <c r="I33" s="15" t="s">
        <v>17</v>
      </c>
      <c r="J33" s="15" t="s">
        <v>71</v>
      </c>
      <c r="K33" s="15" t="s">
        <v>18</v>
      </c>
      <c r="L33" s="16"/>
    </row>
    <row r="34" spans="1:12" ht="14.25" customHeight="1" x14ac:dyDescent="0.35">
      <c r="A34" s="15" t="s">
        <v>113</v>
      </c>
      <c r="B34" s="16" t="s">
        <v>86</v>
      </c>
      <c r="C34" s="15" t="s">
        <v>21</v>
      </c>
      <c r="D34" s="15" t="s">
        <v>22</v>
      </c>
      <c r="E34" s="15" t="s">
        <v>75</v>
      </c>
      <c r="F34" s="15">
        <v>102</v>
      </c>
      <c r="G34" s="15" t="s">
        <v>8</v>
      </c>
      <c r="H34" s="16"/>
      <c r="I34" s="15" t="s">
        <v>17</v>
      </c>
      <c r="J34" s="15" t="s">
        <v>71</v>
      </c>
      <c r="K34" s="15" t="s">
        <v>18</v>
      </c>
      <c r="L34" s="16"/>
    </row>
    <row r="35" spans="1:12" ht="14.25" customHeight="1" x14ac:dyDescent="0.35">
      <c r="A35" s="15" t="s">
        <v>114</v>
      </c>
      <c r="B35" s="16" t="s">
        <v>97</v>
      </c>
      <c r="C35" s="15" t="s">
        <v>21</v>
      </c>
      <c r="D35" s="15" t="s">
        <v>22</v>
      </c>
      <c r="E35" s="15" t="s">
        <v>75</v>
      </c>
      <c r="F35" s="15">
        <v>103</v>
      </c>
      <c r="G35" s="15" t="s">
        <v>8</v>
      </c>
      <c r="H35" s="16"/>
      <c r="I35" s="15" t="s">
        <v>17</v>
      </c>
      <c r="J35" s="15" t="s">
        <v>71</v>
      </c>
      <c r="K35" s="15" t="s">
        <v>18</v>
      </c>
      <c r="L35" s="16"/>
    </row>
    <row r="36" spans="1:12" ht="14.25" customHeight="1" x14ac:dyDescent="0.35">
      <c r="A36" s="15" t="s">
        <v>115</v>
      </c>
      <c r="B36" s="16" t="s">
        <v>86</v>
      </c>
      <c r="C36" s="15" t="s">
        <v>21</v>
      </c>
      <c r="D36" s="15" t="s">
        <v>22</v>
      </c>
      <c r="E36" s="15" t="s">
        <v>75</v>
      </c>
      <c r="F36" s="15">
        <v>104</v>
      </c>
      <c r="G36" s="15" t="s">
        <v>8</v>
      </c>
      <c r="H36" s="16"/>
      <c r="I36" s="15" t="s">
        <v>17</v>
      </c>
      <c r="J36" s="15" t="s">
        <v>71</v>
      </c>
      <c r="K36" s="15" t="s">
        <v>18</v>
      </c>
      <c r="L36" s="16"/>
    </row>
    <row r="37" spans="1:12" ht="14.25" customHeight="1" x14ac:dyDescent="0.35">
      <c r="A37" s="15" t="s">
        <v>116</v>
      </c>
      <c r="B37" s="16" t="s">
        <v>117</v>
      </c>
      <c r="C37" s="15" t="s">
        <v>21</v>
      </c>
      <c r="D37" s="15" t="s">
        <v>23</v>
      </c>
      <c r="E37" s="15" t="s">
        <v>75</v>
      </c>
      <c r="F37" s="15">
        <v>106</v>
      </c>
      <c r="G37" s="15" t="s">
        <v>8</v>
      </c>
      <c r="H37" s="16" t="s">
        <v>118</v>
      </c>
      <c r="I37" s="15" t="s">
        <v>17</v>
      </c>
      <c r="J37" s="15" t="s">
        <v>71</v>
      </c>
      <c r="K37" s="15" t="s">
        <v>18</v>
      </c>
      <c r="L37" s="16"/>
    </row>
    <row r="38" spans="1:12" ht="14.25" customHeight="1" x14ac:dyDescent="0.35">
      <c r="A38" s="15" t="s">
        <v>119</v>
      </c>
      <c r="B38" s="16" t="s">
        <v>120</v>
      </c>
      <c r="C38" s="15" t="s">
        <v>21</v>
      </c>
      <c r="D38" s="15" t="s">
        <v>23</v>
      </c>
      <c r="E38" s="15" t="s">
        <v>75</v>
      </c>
      <c r="F38" s="15">
        <v>107</v>
      </c>
      <c r="G38" s="15" t="s">
        <v>8</v>
      </c>
      <c r="H38" s="16"/>
      <c r="I38" s="15" t="s">
        <v>16</v>
      </c>
      <c r="J38" s="15" t="s">
        <v>81</v>
      </c>
      <c r="K38" s="15" t="s">
        <v>18</v>
      </c>
      <c r="L38" s="16"/>
    </row>
    <row r="39" spans="1:12" ht="14.25" customHeight="1" x14ac:dyDescent="0.35">
      <c r="A39" s="15" t="s">
        <v>121</v>
      </c>
      <c r="B39" s="16" t="s">
        <v>122</v>
      </c>
      <c r="C39" s="15" t="s">
        <v>21</v>
      </c>
      <c r="D39" s="15" t="s">
        <v>23</v>
      </c>
      <c r="E39" s="15" t="s">
        <v>75</v>
      </c>
      <c r="F39" s="15">
        <v>108</v>
      </c>
      <c r="G39" s="15" t="s">
        <v>8</v>
      </c>
      <c r="H39" s="16"/>
      <c r="I39" s="15" t="s">
        <v>16</v>
      </c>
      <c r="J39" s="15" t="s">
        <v>81</v>
      </c>
      <c r="K39" s="15" t="s">
        <v>18</v>
      </c>
      <c r="L39" s="16"/>
    </row>
    <row r="40" spans="1:12" ht="14.25" customHeight="1" x14ac:dyDescent="0.35">
      <c r="A40" s="15" t="s">
        <v>123</v>
      </c>
      <c r="B40" s="16" t="s">
        <v>124</v>
      </c>
      <c r="C40" s="15" t="s">
        <v>21</v>
      </c>
      <c r="D40" s="15" t="s">
        <v>23</v>
      </c>
      <c r="E40" s="15" t="s">
        <v>75</v>
      </c>
      <c r="F40" s="15">
        <v>109</v>
      </c>
      <c r="G40" s="15" t="s">
        <v>8</v>
      </c>
      <c r="H40" s="16"/>
      <c r="I40" s="15" t="s">
        <v>17</v>
      </c>
      <c r="J40" s="15" t="s">
        <v>71</v>
      </c>
      <c r="K40" s="15" t="s">
        <v>18</v>
      </c>
      <c r="L40" s="16" t="s">
        <v>125</v>
      </c>
    </row>
    <row r="41" spans="1:12" ht="14.25" customHeight="1" x14ac:dyDescent="0.35">
      <c r="A41" s="15" t="s">
        <v>126</v>
      </c>
      <c r="B41" s="16" t="s">
        <v>127</v>
      </c>
      <c r="C41" s="15" t="s">
        <v>21</v>
      </c>
      <c r="D41" s="15" t="s">
        <v>23</v>
      </c>
      <c r="E41" s="15" t="s">
        <v>75</v>
      </c>
      <c r="F41" s="15">
        <v>110</v>
      </c>
      <c r="G41" s="15" t="s">
        <v>8</v>
      </c>
      <c r="H41" s="16"/>
      <c r="I41" s="15" t="s">
        <v>17</v>
      </c>
      <c r="J41" s="15" t="s">
        <v>71</v>
      </c>
      <c r="K41" s="15" t="s">
        <v>19</v>
      </c>
      <c r="L41" s="16"/>
    </row>
    <row r="42" spans="1:12" ht="14.25" customHeight="1" x14ac:dyDescent="0.35">
      <c r="A42" s="15" t="s">
        <v>128</v>
      </c>
      <c r="B42" s="16" t="s">
        <v>129</v>
      </c>
      <c r="C42" s="15" t="s">
        <v>21</v>
      </c>
      <c r="D42" s="15" t="s">
        <v>23</v>
      </c>
      <c r="E42" s="15" t="s">
        <v>75</v>
      </c>
      <c r="F42" s="15">
        <v>111</v>
      </c>
      <c r="G42" s="15" t="s">
        <v>8</v>
      </c>
      <c r="H42" s="16"/>
      <c r="I42" s="15" t="s">
        <v>17</v>
      </c>
      <c r="J42" s="15" t="s">
        <v>71</v>
      </c>
      <c r="K42" s="15" t="s">
        <v>19</v>
      </c>
      <c r="L42" s="16"/>
    </row>
    <row r="43" spans="1:12" ht="14.25" customHeight="1" x14ac:dyDescent="0.35">
      <c r="A43" s="15" t="s">
        <v>130</v>
      </c>
      <c r="B43" s="16" t="s">
        <v>131</v>
      </c>
      <c r="C43" s="15" t="s">
        <v>21</v>
      </c>
      <c r="D43" s="15" t="s">
        <v>23</v>
      </c>
      <c r="E43" s="15" t="s">
        <v>75</v>
      </c>
      <c r="F43" s="15">
        <v>112</v>
      </c>
      <c r="G43" s="15" t="s">
        <v>8</v>
      </c>
      <c r="H43" s="16"/>
      <c r="I43" s="15" t="s">
        <v>17</v>
      </c>
      <c r="J43" s="15" t="s">
        <v>71</v>
      </c>
      <c r="K43" s="15" t="s">
        <v>18</v>
      </c>
      <c r="L43" s="16"/>
    </row>
    <row r="44" spans="1:12" ht="14.25" customHeight="1" x14ac:dyDescent="0.35">
      <c r="A44" s="15" t="s">
        <v>132</v>
      </c>
      <c r="B44" s="16" t="s">
        <v>133</v>
      </c>
      <c r="C44" s="15" t="s">
        <v>21</v>
      </c>
      <c r="D44" s="15" t="s">
        <v>23</v>
      </c>
      <c r="E44" s="15" t="s">
        <v>75</v>
      </c>
      <c r="F44" s="15">
        <v>113</v>
      </c>
      <c r="G44" s="15" t="s">
        <v>8</v>
      </c>
      <c r="H44" s="16"/>
      <c r="I44" s="15" t="s">
        <v>17</v>
      </c>
      <c r="J44" s="15" t="s">
        <v>71</v>
      </c>
      <c r="K44" s="15" t="s">
        <v>18</v>
      </c>
      <c r="L44" s="16"/>
    </row>
    <row r="45" spans="1:12" ht="14.25" customHeight="1" x14ac:dyDescent="0.35">
      <c r="A45" s="15" t="s">
        <v>134</v>
      </c>
      <c r="B45" s="16" t="s">
        <v>135</v>
      </c>
      <c r="C45" s="15" t="s">
        <v>21</v>
      </c>
      <c r="D45" s="15" t="s">
        <v>23</v>
      </c>
      <c r="E45" s="15" t="s">
        <v>75</v>
      </c>
      <c r="F45" s="15">
        <v>114</v>
      </c>
      <c r="G45" s="15" t="s">
        <v>8</v>
      </c>
      <c r="H45" s="16"/>
      <c r="I45" s="15" t="s">
        <v>17</v>
      </c>
      <c r="J45" s="15" t="s">
        <v>100</v>
      </c>
      <c r="K45" s="15" t="s">
        <v>18</v>
      </c>
      <c r="L45" s="16"/>
    </row>
    <row r="46" spans="1:12" ht="14.25" customHeight="1" x14ac:dyDescent="0.35">
      <c r="A46" s="15" t="s">
        <v>136</v>
      </c>
      <c r="B46" s="16" t="s">
        <v>137</v>
      </c>
      <c r="C46" s="15" t="s">
        <v>21</v>
      </c>
      <c r="D46" s="15" t="s">
        <v>23</v>
      </c>
      <c r="E46" s="15" t="s">
        <v>75</v>
      </c>
      <c r="F46" s="15">
        <v>115</v>
      </c>
      <c r="G46" s="15" t="s">
        <v>8</v>
      </c>
      <c r="H46" s="16"/>
      <c r="I46" s="15" t="s">
        <v>17</v>
      </c>
      <c r="J46" s="15" t="s">
        <v>100</v>
      </c>
      <c r="K46" s="15" t="s">
        <v>19</v>
      </c>
      <c r="L46" s="16"/>
    </row>
    <row r="47" spans="1:12" ht="14.25" customHeight="1" x14ac:dyDescent="0.35">
      <c r="A47" s="15" t="s">
        <v>138</v>
      </c>
      <c r="B47" s="16" t="s">
        <v>139</v>
      </c>
      <c r="C47" s="15" t="s">
        <v>21</v>
      </c>
      <c r="D47" s="15" t="s">
        <v>23</v>
      </c>
      <c r="E47" s="15" t="s">
        <v>53</v>
      </c>
      <c r="F47" s="15">
        <v>116</v>
      </c>
      <c r="G47" s="15" t="s">
        <v>8</v>
      </c>
      <c r="H47" s="16"/>
      <c r="I47" s="15" t="s">
        <v>17</v>
      </c>
      <c r="J47" s="15" t="s">
        <v>48</v>
      </c>
      <c r="K47" s="15" t="s">
        <v>19</v>
      </c>
      <c r="L47" s="16"/>
    </row>
    <row r="48" spans="1:12" ht="14.25" customHeight="1" x14ac:dyDescent="0.35">
      <c r="A48" s="15" t="s">
        <v>140</v>
      </c>
      <c r="B48" s="16" t="s">
        <v>141</v>
      </c>
      <c r="C48" s="15" t="s">
        <v>21</v>
      </c>
      <c r="D48" s="15" t="s">
        <v>23</v>
      </c>
      <c r="E48" s="15" t="s">
        <v>75</v>
      </c>
      <c r="F48" s="15">
        <v>117</v>
      </c>
      <c r="G48" s="15" t="s">
        <v>8</v>
      </c>
      <c r="H48" s="16"/>
      <c r="I48" s="15" t="s">
        <v>17</v>
      </c>
      <c r="J48" s="15" t="s">
        <v>100</v>
      </c>
      <c r="K48" s="15" t="s">
        <v>19</v>
      </c>
      <c r="L48" s="16"/>
    </row>
    <row r="49" spans="1:12" ht="23.25" customHeight="1" x14ac:dyDescent="0.35">
      <c r="A49" s="15" t="s">
        <v>142</v>
      </c>
      <c r="B49" s="16" t="s">
        <v>143</v>
      </c>
      <c r="C49" s="15" t="s">
        <v>21</v>
      </c>
      <c r="D49" s="15" t="s">
        <v>23</v>
      </c>
      <c r="E49" s="15" t="s">
        <v>75</v>
      </c>
      <c r="F49" s="15">
        <v>118</v>
      </c>
      <c r="G49" s="15" t="s">
        <v>8</v>
      </c>
      <c r="H49" s="16"/>
      <c r="I49" s="15" t="s">
        <v>17</v>
      </c>
      <c r="J49" s="15" t="s">
        <v>71</v>
      </c>
      <c r="K49" s="15" t="s">
        <v>18</v>
      </c>
      <c r="L49" s="16" t="s">
        <v>72</v>
      </c>
    </row>
    <row r="50" spans="1:12" ht="23.25" customHeight="1" x14ac:dyDescent="0.35">
      <c r="A50" s="15" t="s">
        <v>144</v>
      </c>
      <c r="B50" s="16" t="s">
        <v>145</v>
      </c>
      <c r="C50" s="15" t="s">
        <v>21</v>
      </c>
      <c r="D50" s="15" t="s">
        <v>23</v>
      </c>
      <c r="E50" s="15" t="s">
        <v>75</v>
      </c>
      <c r="F50" s="15">
        <v>119</v>
      </c>
      <c r="G50" s="15" t="s">
        <v>8</v>
      </c>
      <c r="H50" s="16"/>
      <c r="I50" s="15" t="s">
        <v>17</v>
      </c>
      <c r="J50" s="15" t="s">
        <v>71</v>
      </c>
      <c r="K50" s="15" t="s">
        <v>18</v>
      </c>
      <c r="L50" s="16"/>
    </row>
    <row r="51" spans="1:12" ht="14.25" customHeight="1" x14ac:dyDescent="0.35">
      <c r="A51" s="15" t="s">
        <v>146</v>
      </c>
      <c r="B51" s="16" t="s">
        <v>147</v>
      </c>
      <c r="C51" s="15" t="s">
        <v>21</v>
      </c>
      <c r="D51" s="15" t="s">
        <v>23</v>
      </c>
      <c r="E51" s="15" t="s">
        <v>75</v>
      </c>
      <c r="F51" s="15">
        <v>120</v>
      </c>
      <c r="G51" s="15" t="s">
        <v>8</v>
      </c>
      <c r="H51" s="16"/>
      <c r="I51" s="15" t="s">
        <v>17</v>
      </c>
      <c r="J51" s="15" t="s">
        <v>100</v>
      </c>
      <c r="K51" s="15" t="s">
        <v>19</v>
      </c>
      <c r="L51" s="16" t="s">
        <v>72</v>
      </c>
    </row>
    <row r="52" spans="1:12" ht="14.25" customHeight="1" x14ac:dyDescent="0.35">
      <c r="A52" s="15" t="s">
        <v>148</v>
      </c>
      <c r="B52" s="16" t="s">
        <v>149</v>
      </c>
      <c r="C52" s="15" t="s">
        <v>21</v>
      </c>
      <c r="D52" s="15" t="s">
        <v>23</v>
      </c>
      <c r="E52" s="15" t="s">
        <v>75</v>
      </c>
      <c r="F52" s="15">
        <v>121</v>
      </c>
      <c r="G52" s="15" t="s">
        <v>8</v>
      </c>
      <c r="H52" s="16"/>
      <c r="I52" s="15" t="s">
        <v>17</v>
      </c>
      <c r="J52" s="15" t="s">
        <v>100</v>
      </c>
      <c r="K52" s="15" t="s">
        <v>18</v>
      </c>
      <c r="L52" s="16"/>
    </row>
    <row r="53" spans="1:12" ht="14.25" customHeight="1" x14ac:dyDescent="0.35">
      <c r="A53" s="15" t="s">
        <v>150</v>
      </c>
      <c r="B53" s="16" t="s">
        <v>151</v>
      </c>
      <c r="C53" s="15" t="s">
        <v>21</v>
      </c>
      <c r="D53" s="15" t="s">
        <v>23</v>
      </c>
      <c r="E53" s="15" t="s">
        <v>75</v>
      </c>
      <c r="F53" s="15">
        <v>122</v>
      </c>
      <c r="G53" s="15" t="s">
        <v>8</v>
      </c>
      <c r="H53" s="16"/>
      <c r="I53" s="15" t="s">
        <v>17</v>
      </c>
      <c r="J53" s="15" t="s">
        <v>71</v>
      </c>
      <c r="K53" s="15" t="s">
        <v>18</v>
      </c>
      <c r="L53" s="16"/>
    </row>
    <row r="54" spans="1:12" ht="14.25" customHeight="1" x14ac:dyDescent="0.35">
      <c r="A54" s="15" t="s">
        <v>152</v>
      </c>
      <c r="B54" s="16" t="s">
        <v>153</v>
      </c>
      <c r="C54" s="15" t="s">
        <v>21</v>
      </c>
      <c r="D54" s="15" t="s">
        <v>23</v>
      </c>
      <c r="E54" s="15" t="s">
        <v>75</v>
      </c>
      <c r="F54" s="15">
        <v>123</v>
      </c>
      <c r="G54" s="15" t="s">
        <v>8</v>
      </c>
      <c r="H54" s="16"/>
      <c r="I54" s="15" t="s">
        <v>17</v>
      </c>
      <c r="J54" s="15" t="s">
        <v>71</v>
      </c>
      <c r="K54" s="15" t="s">
        <v>18</v>
      </c>
      <c r="L54" s="16"/>
    </row>
    <row r="55" spans="1:12" ht="14.25" customHeight="1" x14ac:dyDescent="0.35">
      <c r="A55" s="15" t="s">
        <v>154</v>
      </c>
      <c r="B55" s="16" t="s">
        <v>55</v>
      </c>
      <c r="C55" s="15" t="s">
        <v>21</v>
      </c>
      <c r="D55" s="15" t="s">
        <v>23</v>
      </c>
      <c r="E55" s="15" t="s">
        <v>53</v>
      </c>
      <c r="F55" s="15">
        <v>124</v>
      </c>
      <c r="G55" s="15" t="s">
        <v>8</v>
      </c>
      <c r="H55" s="16"/>
      <c r="I55" s="15" t="s">
        <v>17</v>
      </c>
      <c r="J55" s="15" t="s">
        <v>48</v>
      </c>
      <c r="K55" s="15" t="s">
        <v>19</v>
      </c>
      <c r="L55" s="16"/>
    </row>
    <row r="56" spans="1:12" ht="14.25" customHeight="1" x14ac:dyDescent="0.35">
      <c r="A56" s="15" t="s">
        <v>155</v>
      </c>
      <c r="B56" s="16" t="s">
        <v>156</v>
      </c>
      <c r="C56" s="15" t="s">
        <v>21</v>
      </c>
      <c r="D56" s="15" t="s">
        <v>23</v>
      </c>
      <c r="E56" s="15" t="s">
        <v>75</v>
      </c>
      <c r="F56" s="15">
        <v>125</v>
      </c>
      <c r="G56" s="15" t="s">
        <v>8</v>
      </c>
      <c r="H56" s="16"/>
      <c r="I56" s="15" t="s">
        <v>17</v>
      </c>
      <c r="J56" s="15" t="s">
        <v>100</v>
      </c>
      <c r="K56" s="15" t="s">
        <v>19</v>
      </c>
      <c r="L56" s="16"/>
    </row>
    <row r="57" spans="1:12" ht="14.25" customHeight="1" x14ac:dyDescent="0.35">
      <c r="A57" s="15" t="s">
        <v>157</v>
      </c>
      <c r="B57" s="16" t="s">
        <v>158</v>
      </c>
      <c r="C57" s="15" t="s">
        <v>21</v>
      </c>
      <c r="D57" s="15" t="s">
        <v>23</v>
      </c>
      <c r="E57" s="15" t="s">
        <v>75</v>
      </c>
      <c r="F57" s="15">
        <v>126</v>
      </c>
      <c r="G57" s="15" t="s">
        <v>8</v>
      </c>
      <c r="H57" s="16"/>
      <c r="I57" s="15" t="s">
        <v>17</v>
      </c>
      <c r="J57" s="15" t="s">
        <v>71</v>
      </c>
      <c r="K57" s="15" t="s">
        <v>19</v>
      </c>
      <c r="L57" s="16"/>
    </row>
    <row r="58" spans="1:12" ht="14.25" customHeight="1" x14ac:dyDescent="0.35">
      <c r="A58" s="15" t="s">
        <v>159</v>
      </c>
      <c r="B58" s="16" t="s">
        <v>83</v>
      </c>
      <c r="C58" s="15" t="s">
        <v>21</v>
      </c>
      <c r="D58" s="15" t="s">
        <v>23</v>
      </c>
      <c r="E58" s="15" t="s">
        <v>75</v>
      </c>
      <c r="F58" s="15">
        <v>127</v>
      </c>
      <c r="G58" s="15" t="s">
        <v>8</v>
      </c>
      <c r="H58" s="16"/>
      <c r="I58" s="15" t="s">
        <v>17</v>
      </c>
      <c r="J58" s="15" t="s">
        <v>100</v>
      </c>
      <c r="K58" s="15" t="s">
        <v>19</v>
      </c>
      <c r="L58" s="16"/>
    </row>
    <row r="59" spans="1:12" ht="14.25" customHeight="1" x14ac:dyDescent="0.35">
      <c r="A59" s="15" t="s">
        <v>160</v>
      </c>
      <c r="B59" s="16" t="s">
        <v>161</v>
      </c>
      <c r="C59" s="15" t="s">
        <v>21</v>
      </c>
      <c r="D59" s="15" t="s">
        <v>23</v>
      </c>
      <c r="E59" s="15" t="s">
        <v>75</v>
      </c>
      <c r="F59" s="15">
        <v>128</v>
      </c>
      <c r="G59" s="15" t="s">
        <v>8</v>
      </c>
      <c r="H59" s="16"/>
      <c r="I59" s="15" t="s">
        <v>17</v>
      </c>
      <c r="J59" s="15" t="s">
        <v>100</v>
      </c>
      <c r="K59" s="15" t="s">
        <v>19</v>
      </c>
      <c r="L59" s="16"/>
    </row>
    <row r="60" spans="1:12" ht="14.25" customHeight="1" x14ac:dyDescent="0.35">
      <c r="A60" s="15" t="s">
        <v>162</v>
      </c>
      <c r="B60" s="16" t="s">
        <v>163</v>
      </c>
      <c r="C60" s="15" t="s">
        <v>21</v>
      </c>
      <c r="D60" s="15" t="s">
        <v>23</v>
      </c>
      <c r="E60" s="15" t="s">
        <v>75</v>
      </c>
      <c r="F60" s="15">
        <v>129</v>
      </c>
      <c r="G60" s="15" t="s">
        <v>8</v>
      </c>
      <c r="H60" s="16"/>
      <c r="I60" s="15" t="s">
        <v>17</v>
      </c>
      <c r="J60" s="15" t="s">
        <v>100</v>
      </c>
      <c r="K60" s="15" t="s">
        <v>19</v>
      </c>
      <c r="L60" s="16"/>
    </row>
    <row r="61" spans="1:12" ht="14.25" customHeight="1" x14ac:dyDescent="0.35">
      <c r="A61" s="15" t="s">
        <v>164</v>
      </c>
      <c r="B61" s="16" t="s">
        <v>165</v>
      </c>
      <c r="C61" s="15" t="s">
        <v>21</v>
      </c>
      <c r="D61" s="15" t="s">
        <v>23</v>
      </c>
      <c r="E61" s="15" t="s">
        <v>75</v>
      </c>
      <c r="F61" s="15">
        <v>130</v>
      </c>
      <c r="G61" s="15" t="s">
        <v>8</v>
      </c>
      <c r="H61" s="16"/>
      <c r="I61" s="15" t="s">
        <v>17</v>
      </c>
      <c r="J61" s="15" t="s">
        <v>71</v>
      </c>
      <c r="K61" s="15" t="s">
        <v>18</v>
      </c>
      <c r="L61" s="16"/>
    </row>
    <row r="62" spans="1:12" ht="14.25" customHeight="1" x14ac:dyDescent="0.35">
      <c r="A62" s="15" t="s">
        <v>166</v>
      </c>
      <c r="B62" s="16" t="s">
        <v>167</v>
      </c>
      <c r="C62" s="15" t="s">
        <v>21</v>
      </c>
      <c r="D62" s="15" t="s">
        <v>23</v>
      </c>
      <c r="E62" s="15" t="s">
        <v>75</v>
      </c>
      <c r="F62" s="15">
        <v>131</v>
      </c>
      <c r="G62" s="15" t="s">
        <v>8</v>
      </c>
      <c r="H62" s="16"/>
      <c r="I62" s="15" t="s">
        <v>17</v>
      </c>
      <c r="J62" s="15" t="s">
        <v>71</v>
      </c>
      <c r="K62" s="15" t="s">
        <v>18</v>
      </c>
      <c r="L62" s="16"/>
    </row>
    <row r="63" spans="1:12" ht="14.25" customHeight="1" x14ac:dyDescent="0.35">
      <c r="A63" s="15" t="s">
        <v>168</v>
      </c>
      <c r="B63" s="16" t="s">
        <v>169</v>
      </c>
      <c r="C63" s="15" t="s">
        <v>21</v>
      </c>
      <c r="D63" s="15" t="s">
        <v>23</v>
      </c>
      <c r="E63" s="15" t="s">
        <v>75</v>
      </c>
      <c r="F63" s="15">
        <v>132</v>
      </c>
      <c r="G63" s="15" t="s">
        <v>8</v>
      </c>
      <c r="H63" s="16"/>
      <c r="I63" s="15" t="s">
        <v>17</v>
      </c>
      <c r="J63" s="15" t="s">
        <v>71</v>
      </c>
      <c r="K63" s="15" t="s">
        <v>19</v>
      </c>
      <c r="L63" s="16"/>
    </row>
    <row r="64" spans="1:12" ht="14.25" customHeight="1" x14ac:dyDescent="0.35">
      <c r="A64" s="15" t="s">
        <v>170</v>
      </c>
      <c r="B64" s="16" t="s">
        <v>171</v>
      </c>
      <c r="C64" s="15" t="s">
        <v>21</v>
      </c>
      <c r="D64" s="15" t="s">
        <v>23</v>
      </c>
      <c r="E64" s="15" t="s">
        <v>75</v>
      </c>
      <c r="F64" s="15">
        <v>133</v>
      </c>
      <c r="G64" s="15" t="s">
        <v>8</v>
      </c>
      <c r="H64" s="16"/>
      <c r="I64" s="15" t="s">
        <v>17</v>
      </c>
      <c r="J64" s="15" t="s">
        <v>71</v>
      </c>
      <c r="K64" s="15" t="s">
        <v>19</v>
      </c>
      <c r="L64" s="16" t="s">
        <v>172</v>
      </c>
    </row>
    <row r="65" spans="1:12" ht="14.25" customHeight="1" x14ac:dyDescent="0.35">
      <c r="A65" s="15" t="s">
        <v>173</v>
      </c>
      <c r="B65" s="16" t="s">
        <v>174</v>
      </c>
      <c r="C65" s="15" t="s">
        <v>21</v>
      </c>
      <c r="D65" s="15" t="s">
        <v>23</v>
      </c>
      <c r="E65" s="15" t="s">
        <v>75</v>
      </c>
      <c r="F65" s="15">
        <v>134</v>
      </c>
      <c r="G65" s="15" t="s">
        <v>8</v>
      </c>
      <c r="H65" s="16"/>
      <c r="I65" s="15" t="s">
        <v>17</v>
      </c>
      <c r="J65" s="15" t="s">
        <v>100</v>
      </c>
      <c r="K65" s="15" t="s">
        <v>19</v>
      </c>
      <c r="L65" s="16"/>
    </row>
    <row r="66" spans="1:12" ht="14.25" customHeight="1" x14ac:dyDescent="0.35">
      <c r="A66" s="15" t="s">
        <v>175</v>
      </c>
      <c r="B66" s="16" t="s">
        <v>176</v>
      </c>
      <c r="C66" s="15" t="s">
        <v>21</v>
      </c>
      <c r="D66" s="15" t="s">
        <v>23</v>
      </c>
      <c r="E66" s="15" t="s">
        <v>75</v>
      </c>
      <c r="F66" s="15">
        <v>135</v>
      </c>
      <c r="G66" s="15" t="s">
        <v>8</v>
      </c>
      <c r="H66" s="16"/>
      <c r="I66" s="15" t="s">
        <v>17</v>
      </c>
      <c r="J66" s="15" t="s">
        <v>100</v>
      </c>
      <c r="K66" s="15" t="s">
        <v>19</v>
      </c>
      <c r="L66" s="16"/>
    </row>
    <row r="67" spans="1:12" ht="14.25" customHeight="1" x14ac:dyDescent="0.35">
      <c r="A67" s="15" t="s">
        <v>177</v>
      </c>
      <c r="B67" s="16" t="s">
        <v>178</v>
      </c>
      <c r="C67" s="15" t="s">
        <v>21</v>
      </c>
      <c r="D67" s="15" t="s">
        <v>23</v>
      </c>
      <c r="E67" s="15" t="s">
        <v>75</v>
      </c>
      <c r="F67" s="15">
        <v>136</v>
      </c>
      <c r="G67" s="15" t="s">
        <v>8</v>
      </c>
      <c r="H67" s="16"/>
      <c r="I67" s="15" t="s">
        <v>17</v>
      </c>
      <c r="J67" s="15" t="s">
        <v>100</v>
      </c>
      <c r="K67" s="15" t="s">
        <v>19</v>
      </c>
      <c r="L67" s="16"/>
    </row>
    <row r="68" spans="1:12" ht="14.25" customHeight="1" x14ac:dyDescent="0.35">
      <c r="A68" s="15" t="s">
        <v>179</v>
      </c>
      <c r="B68" s="16" t="s">
        <v>180</v>
      </c>
      <c r="C68" s="15" t="s">
        <v>21</v>
      </c>
      <c r="D68" s="15" t="s">
        <v>23</v>
      </c>
      <c r="E68" s="15" t="s">
        <v>75</v>
      </c>
      <c r="F68" s="15">
        <v>137</v>
      </c>
      <c r="G68" s="15" t="s">
        <v>8</v>
      </c>
      <c r="H68" s="16"/>
      <c r="I68" s="15" t="s">
        <v>17</v>
      </c>
      <c r="J68" s="15" t="s">
        <v>100</v>
      </c>
      <c r="K68" s="15" t="s">
        <v>19</v>
      </c>
      <c r="L68" s="16"/>
    </row>
    <row r="69" spans="1:12" ht="14.25" customHeight="1" x14ac:dyDescent="0.35">
      <c r="A69" s="15" t="s">
        <v>181</v>
      </c>
      <c r="B69" s="16" t="s">
        <v>182</v>
      </c>
      <c r="C69" s="15" t="s">
        <v>21</v>
      </c>
      <c r="D69" s="15" t="s">
        <v>23</v>
      </c>
      <c r="E69" s="15" t="s">
        <v>75</v>
      </c>
      <c r="F69" s="15">
        <v>138</v>
      </c>
      <c r="G69" s="15" t="s">
        <v>8</v>
      </c>
      <c r="H69" s="16"/>
      <c r="I69" s="15" t="s">
        <v>17</v>
      </c>
      <c r="J69" s="15" t="s">
        <v>100</v>
      </c>
      <c r="K69" s="15" t="s">
        <v>19</v>
      </c>
      <c r="L69" s="16"/>
    </row>
    <row r="70" spans="1:12" ht="14.25" customHeight="1" x14ac:dyDescent="0.35">
      <c r="A70" s="15" t="s">
        <v>183</v>
      </c>
      <c r="B70" s="16" t="s">
        <v>184</v>
      </c>
      <c r="C70" s="15" t="s">
        <v>21</v>
      </c>
      <c r="D70" s="15" t="s">
        <v>23</v>
      </c>
      <c r="E70" s="15" t="s">
        <v>75</v>
      </c>
      <c r="F70" s="15">
        <v>139</v>
      </c>
      <c r="G70" s="15" t="s">
        <v>8</v>
      </c>
      <c r="H70" s="16"/>
      <c r="I70" s="15" t="s">
        <v>17</v>
      </c>
      <c r="J70" s="15" t="s">
        <v>100</v>
      </c>
      <c r="K70" s="15" t="s">
        <v>19</v>
      </c>
      <c r="L70" s="16"/>
    </row>
    <row r="71" spans="1:12" ht="14.25" customHeight="1" x14ac:dyDescent="0.35">
      <c r="A71" s="15" t="s">
        <v>185</v>
      </c>
      <c r="B71" s="16" t="s">
        <v>186</v>
      </c>
      <c r="C71" s="15" t="s">
        <v>21</v>
      </c>
      <c r="D71" s="15" t="s">
        <v>23</v>
      </c>
      <c r="E71" s="15" t="s">
        <v>75</v>
      </c>
      <c r="F71" s="15">
        <v>140</v>
      </c>
      <c r="G71" s="15" t="s">
        <v>8</v>
      </c>
      <c r="H71" s="16"/>
      <c r="I71" s="15" t="s">
        <v>17</v>
      </c>
      <c r="J71" s="15" t="s">
        <v>71</v>
      </c>
      <c r="K71" s="15" t="s">
        <v>19</v>
      </c>
      <c r="L71" s="16"/>
    </row>
    <row r="72" spans="1:12" ht="14.25" customHeight="1" x14ac:dyDescent="0.35">
      <c r="A72" s="15" t="s">
        <v>187</v>
      </c>
      <c r="B72" s="16" t="s">
        <v>188</v>
      </c>
      <c r="C72" s="15" t="s">
        <v>21</v>
      </c>
      <c r="D72" s="15" t="s">
        <v>23</v>
      </c>
      <c r="E72" s="15" t="s">
        <v>75</v>
      </c>
      <c r="F72" s="15">
        <v>141</v>
      </c>
      <c r="G72" s="15" t="s">
        <v>8</v>
      </c>
      <c r="H72" s="16"/>
      <c r="I72" s="15" t="s">
        <v>17</v>
      </c>
      <c r="J72" s="15" t="s">
        <v>71</v>
      </c>
      <c r="K72" s="15" t="s">
        <v>19</v>
      </c>
      <c r="L72" s="16"/>
    </row>
    <row r="73" spans="1:12" ht="14.25" customHeight="1" x14ac:dyDescent="0.35">
      <c r="A73" s="15" t="s">
        <v>189</v>
      </c>
      <c r="B73" s="16" t="s">
        <v>190</v>
      </c>
      <c r="C73" s="15" t="s">
        <v>21</v>
      </c>
      <c r="D73" s="15" t="s">
        <v>23</v>
      </c>
      <c r="E73" s="15" t="s">
        <v>75</v>
      </c>
      <c r="F73" s="15">
        <v>142</v>
      </c>
      <c r="G73" s="15" t="s">
        <v>8</v>
      </c>
      <c r="H73" s="16"/>
      <c r="I73" s="15" t="s">
        <v>17</v>
      </c>
      <c r="J73" s="15" t="s">
        <v>100</v>
      </c>
      <c r="K73" s="15" t="s">
        <v>18</v>
      </c>
      <c r="L73" s="16"/>
    </row>
    <row r="74" spans="1:12" ht="14.25" customHeight="1" x14ac:dyDescent="0.35">
      <c r="A74" s="15" t="s">
        <v>191</v>
      </c>
      <c r="B74" s="16" t="s">
        <v>192</v>
      </c>
      <c r="C74" s="15" t="s">
        <v>21</v>
      </c>
      <c r="D74" s="15" t="s">
        <v>23</v>
      </c>
      <c r="E74" s="15" t="s">
        <v>75</v>
      </c>
      <c r="F74" s="15">
        <v>143</v>
      </c>
      <c r="G74" s="15" t="s">
        <v>8</v>
      </c>
      <c r="H74" s="16"/>
      <c r="I74" s="15" t="s">
        <v>17</v>
      </c>
      <c r="J74" s="15" t="s">
        <v>100</v>
      </c>
      <c r="K74" s="15" t="s">
        <v>18</v>
      </c>
      <c r="L74" s="16"/>
    </row>
    <row r="75" spans="1:12" ht="14.25" customHeight="1" x14ac:dyDescent="0.35">
      <c r="A75" s="15" t="s">
        <v>193</v>
      </c>
      <c r="B75" s="16" t="s">
        <v>194</v>
      </c>
      <c r="C75" s="15" t="s">
        <v>21</v>
      </c>
      <c r="D75" s="15" t="s">
        <v>23</v>
      </c>
      <c r="E75" s="15" t="s">
        <v>75</v>
      </c>
      <c r="F75" s="15">
        <v>144</v>
      </c>
      <c r="G75" s="15" t="s">
        <v>8</v>
      </c>
      <c r="H75" s="16"/>
      <c r="I75" s="15" t="s">
        <v>17</v>
      </c>
      <c r="J75" s="15" t="s">
        <v>71</v>
      </c>
      <c r="K75" s="15" t="s">
        <v>18</v>
      </c>
      <c r="L75" s="16"/>
    </row>
    <row r="76" spans="1:12" ht="14.25" customHeight="1" x14ac:dyDescent="0.35">
      <c r="A76" s="15" t="s">
        <v>195</v>
      </c>
      <c r="B76" s="16" t="s">
        <v>196</v>
      </c>
      <c r="C76" s="15" t="s">
        <v>21</v>
      </c>
      <c r="D76" s="15" t="s">
        <v>23</v>
      </c>
      <c r="E76" s="15" t="s">
        <v>75</v>
      </c>
      <c r="F76" s="15">
        <v>145</v>
      </c>
      <c r="G76" s="15" t="s">
        <v>8</v>
      </c>
      <c r="H76" s="16"/>
      <c r="I76" s="15" t="s">
        <v>17</v>
      </c>
      <c r="J76" s="15" t="s">
        <v>71</v>
      </c>
      <c r="K76" s="15" t="s">
        <v>19</v>
      </c>
      <c r="L76" s="16"/>
    </row>
    <row r="77" spans="1:12" ht="14.25" customHeight="1" x14ac:dyDescent="0.35">
      <c r="A77" s="15" t="s">
        <v>197</v>
      </c>
      <c r="B77" s="16" t="s">
        <v>198</v>
      </c>
      <c r="C77" s="15" t="s">
        <v>21</v>
      </c>
      <c r="D77" s="15" t="s">
        <v>23</v>
      </c>
      <c r="E77" s="15" t="s">
        <v>75</v>
      </c>
      <c r="F77" s="15">
        <v>146</v>
      </c>
      <c r="G77" s="15" t="s">
        <v>8</v>
      </c>
      <c r="H77" s="16"/>
      <c r="I77" s="15" t="s">
        <v>17</v>
      </c>
      <c r="J77" s="15" t="s">
        <v>71</v>
      </c>
      <c r="K77" s="15" t="s">
        <v>19</v>
      </c>
      <c r="L77" s="16"/>
    </row>
    <row r="78" spans="1:12" ht="14.25" customHeight="1" x14ac:dyDescent="0.35">
      <c r="A78" s="15" t="s">
        <v>199</v>
      </c>
      <c r="B78" s="16" t="s">
        <v>200</v>
      </c>
      <c r="C78" s="15" t="s">
        <v>21</v>
      </c>
      <c r="D78" s="15" t="s">
        <v>23</v>
      </c>
      <c r="E78" s="15" t="s">
        <v>75</v>
      </c>
      <c r="F78" s="15">
        <v>147</v>
      </c>
      <c r="G78" s="15" t="s">
        <v>8</v>
      </c>
      <c r="H78" s="16"/>
      <c r="I78" s="15" t="s">
        <v>17</v>
      </c>
      <c r="J78" s="15" t="s">
        <v>71</v>
      </c>
      <c r="K78" s="15" t="s">
        <v>19</v>
      </c>
      <c r="L78" s="16"/>
    </row>
    <row r="79" spans="1:12" ht="14.25" customHeight="1" x14ac:dyDescent="0.35">
      <c r="A79" s="15" t="s">
        <v>201</v>
      </c>
      <c r="B79" s="16" t="s">
        <v>202</v>
      </c>
      <c r="C79" s="15" t="s">
        <v>21</v>
      </c>
      <c r="D79" s="15" t="s">
        <v>23</v>
      </c>
      <c r="E79" s="15" t="s">
        <v>75</v>
      </c>
      <c r="F79" s="15">
        <v>148</v>
      </c>
      <c r="G79" s="15" t="s">
        <v>8</v>
      </c>
      <c r="H79" s="16"/>
      <c r="I79" s="15" t="s">
        <v>17</v>
      </c>
      <c r="J79" s="15" t="s">
        <v>71</v>
      </c>
      <c r="K79" s="15" t="s">
        <v>19</v>
      </c>
      <c r="L79" s="16"/>
    </row>
    <row r="80" spans="1:12" ht="14.25" customHeight="1" x14ac:dyDescent="0.35">
      <c r="A80" s="15" t="s">
        <v>203</v>
      </c>
      <c r="B80" s="16" t="s">
        <v>93</v>
      </c>
      <c r="C80" s="15" t="s">
        <v>21</v>
      </c>
      <c r="D80" s="15" t="s">
        <v>23</v>
      </c>
      <c r="E80" s="15" t="s">
        <v>75</v>
      </c>
      <c r="F80" s="15">
        <v>149</v>
      </c>
      <c r="G80" s="15" t="s">
        <v>8</v>
      </c>
      <c r="H80" s="16"/>
      <c r="I80" s="15" t="s">
        <v>17</v>
      </c>
      <c r="J80" s="15" t="s">
        <v>71</v>
      </c>
      <c r="K80" s="15" t="s">
        <v>18</v>
      </c>
      <c r="L80" s="16"/>
    </row>
    <row r="81" spans="1:12" ht="23.25" customHeight="1" x14ac:dyDescent="0.35">
      <c r="A81" s="15" t="s">
        <v>204</v>
      </c>
      <c r="B81" s="16" t="s">
        <v>88</v>
      </c>
      <c r="C81" s="15" t="s">
        <v>21</v>
      </c>
      <c r="D81" s="15" t="s">
        <v>23</v>
      </c>
      <c r="E81" s="15" t="s">
        <v>75</v>
      </c>
      <c r="F81" s="15">
        <v>150</v>
      </c>
      <c r="G81" s="15" t="s">
        <v>8</v>
      </c>
      <c r="H81" s="16"/>
      <c r="I81" s="15" t="s">
        <v>17</v>
      </c>
      <c r="J81" s="15" t="s">
        <v>71</v>
      </c>
      <c r="K81" s="15" t="s">
        <v>18</v>
      </c>
      <c r="L81" s="16"/>
    </row>
    <row r="82" spans="1:12" ht="14.25" customHeight="1" x14ac:dyDescent="0.35">
      <c r="A82" s="15" t="s">
        <v>205</v>
      </c>
      <c r="B82" s="16" t="s">
        <v>97</v>
      </c>
      <c r="C82" s="15" t="s">
        <v>21</v>
      </c>
      <c r="D82" s="15" t="s">
        <v>23</v>
      </c>
      <c r="E82" s="15" t="s">
        <v>75</v>
      </c>
      <c r="F82" s="15">
        <v>151</v>
      </c>
      <c r="G82" s="15" t="s">
        <v>8</v>
      </c>
      <c r="H82" s="16"/>
      <c r="I82" s="15" t="s">
        <v>17</v>
      </c>
      <c r="J82" s="15" t="s">
        <v>71</v>
      </c>
      <c r="K82" s="15" t="s">
        <v>18</v>
      </c>
      <c r="L82" s="16"/>
    </row>
    <row r="83" spans="1:12" ht="14.25" customHeight="1" x14ac:dyDescent="0.35">
      <c r="A83" s="15" t="s">
        <v>206</v>
      </c>
      <c r="B83" s="16" t="s">
        <v>99</v>
      </c>
      <c r="C83" s="15" t="s">
        <v>21</v>
      </c>
      <c r="D83" s="15" t="s">
        <v>23</v>
      </c>
      <c r="E83" s="15" t="s">
        <v>75</v>
      </c>
      <c r="F83" s="15">
        <v>152</v>
      </c>
      <c r="G83" s="15" t="s">
        <v>8</v>
      </c>
      <c r="H83" s="16"/>
      <c r="I83" s="15" t="s">
        <v>17</v>
      </c>
      <c r="J83" s="15" t="s">
        <v>100</v>
      </c>
      <c r="K83" s="15" t="s">
        <v>18</v>
      </c>
      <c r="L83" s="16"/>
    </row>
    <row r="84" spans="1:12" ht="14.25" customHeight="1" x14ac:dyDescent="0.35">
      <c r="A84" s="15" t="s">
        <v>207</v>
      </c>
      <c r="B84" s="16" t="s">
        <v>102</v>
      </c>
      <c r="C84" s="15" t="s">
        <v>21</v>
      </c>
      <c r="D84" s="15" t="s">
        <v>23</v>
      </c>
      <c r="E84" s="15" t="s">
        <v>75</v>
      </c>
      <c r="F84" s="15">
        <v>153</v>
      </c>
      <c r="G84" s="15" t="s">
        <v>8</v>
      </c>
      <c r="H84" s="16"/>
      <c r="I84" s="15" t="s">
        <v>17</v>
      </c>
      <c r="J84" s="15" t="s">
        <v>71</v>
      </c>
      <c r="K84" s="15" t="s">
        <v>18</v>
      </c>
      <c r="L84" s="16"/>
    </row>
    <row r="85" spans="1:12" ht="14.25" customHeight="1" x14ac:dyDescent="0.35">
      <c r="A85" s="15" t="s">
        <v>208</v>
      </c>
      <c r="B85" s="16" t="s">
        <v>209</v>
      </c>
      <c r="C85" s="15" t="s">
        <v>21</v>
      </c>
      <c r="D85" s="15" t="s">
        <v>23</v>
      </c>
      <c r="E85" s="15" t="s">
        <v>75</v>
      </c>
      <c r="F85" s="15">
        <v>154</v>
      </c>
      <c r="G85" s="15" t="s">
        <v>8</v>
      </c>
      <c r="H85" s="16"/>
      <c r="I85" s="15" t="s">
        <v>17</v>
      </c>
      <c r="J85" s="15" t="s">
        <v>71</v>
      </c>
      <c r="K85" s="15" t="s">
        <v>18</v>
      </c>
      <c r="L85" s="16"/>
    </row>
    <row r="86" spans="1:12" ht="14.25" customHeight="1" x14ac:dyDescent="0.35">
      <c r="A86" s="15" t="s">
        <v>210</v>
      </c>
      <c r="B86" s="16" t="s">
        <v>105</v>
      </c>
      <c r="C86" s="15" t="s">
        <v>21</v>
      </c>
      <c r="D86" s="15" t="s">
        <v>23</v>
      </c>
      <c r="E86" s="15" t="s">
        <v>75</v>
      </c>
      <c r="F86" s="15">
        <v>155</v>
      </c>
      <c r="G86" s="15" t="s">
        <v>8</v>
      </c>
      <c r="H86" s="16"/>
      <c r="I86" s="15" t="s">
        <v>17</v>
      </c>
      <c r="J86" s="15" t="s">
        <v>100</v>
      </c>
      <c r="K86" s="15" t="s">
        <v>18</v>
      </c>
      <c r="L86" s="16"/>
    </row>
    <row r="87" spans="1:12" ht="14.25" customHeight="1" x14ac:dyDescent="0.35">
      <c r="A87" s="15" t="s">
        <v>211</v>
      </c>
      <c r="B87" s="16" t="s">
        <v>212</v>
      </c>
      <c r="C87" s="15" t="s">
        <v>21</v>
      </c>
      <c r="D87" s="15" t="s">
        <v>23</v>
      </c>
      <c r="E87" s="15" t="s">
        <v>75</v>
      </c>
      <c r="F87" s="15">
        <v>156</v>
      </c>
      <c r="G87" s="15" t="s">
        <v>8</v>
      </c>
      <c r="H87" s="16"/>
      <c r="I87" s="15" t="s">
        <v>17</v>
      </c>
      <c r="J87" s="15" t="s">
        <v>71</v>
      </c>
      <c r="K87" s="15" t="s">
        <v>18</v>
      </c>
      <c r="L87" s="16"/>
    </row>
    <row r="88" spans="1:12" ht="14.25" customHeight="1" x14ac:dyDescent="0.35">
      <c r="A88" s="15" t="s">
        <v>213</v>
      </c>
      <c r="B88" s="16" t="s">
        <v>108</v>
      </c>
      <c r="C88" s="15" t="s">
        <v>21</v>
      </c>
      <c r="D88" s="15" t="s">
        <v>23</v>
      </c>
      <c r="E88" s="15" t="s">
        <v>75</v>
      </c>
      <c r="F88" s="15">
        <v>157</v>
      </c>
      <c r="G88" s="15" t="s">
        <v>8</v>
      </c>
      <c r="H88" s="16"/>
      <c r="I88" s="15" t="s">
        <v>17</v>
      </c>
      <c r="J88" s="15" t="s">
        <v>100</v>
      </c>
      <c r="K88" s="15" t="s">
        <v>18</v>
      </c>
      <c r="L88" s="16"/>
    </row>
    <row r="89" spans="1:12" ht="14.25" customHeight="1" x14ac:dyDescent="0.35">
      <c r="A89" s="15" t="s">
        <v>214</v>
      </c>
      <c r="B89" s="16" t="s">
        <v>215</v>
      </c>
      <c r="C89" s="15" t="s">
        <v>21</v>
      </c>
      <c r="D89" s="15" t="s">
        <v>23</v>
      </c>
      <c r="E89" s="15" t="s">
        <v>75</v>
      </c>
      <c r="F89" s="15">
        <v>158</v>
      </c>
      <c r="G89" s="15" t="s">
        <v>8</v>
      </c>
      <c r="H89" s="16"/>
      <c r="I89" s="15" t="s">
        <v>17</v>
      </c>
      <c r="J89" s="15" t="s">
        <v>71</v>
      </c>
      <c r="K89" s="15" t="s">
        <v>18</v>
      </c>
      <c r="L89" s="16"/>
    </row>
    <row r="90" spans="1:12" ht="14.25" customHeight="1" x14ac:dyDescent="0.35">
      <c r="A90" s="15" t="s">
        <v>216</v>
      </c>
      <c r="B90" s="16" t="s">
        <v>215</v>
      </c>
      <c r="C90" s="15" t="s">
        <v>21</v>
      </c>
      <c r="D90" s="15" t="s">
        <v>23</v>
      </c>
      <c r="E90" s="15" t="s">
        <v>75</v>
      </c>
      <c r="F90" s="15">
        <v>159</v>
      </c>
      <c r="G90" s="15" t="s">
        <v>8</v>
      </c>
      <c r="H90" s="16"/>
      <c r="I90" s="15" t="s">
        <v>17</v>
      </c>
      <c r="J90" s="15" t="s">
        <v>71</v>
      </c>
      <c r="K90" s="15" t="s">
        <v>18</v>
      </c>
      <c r="L90" s="16"/>
    </row>
    <row r="91" spans="1:12" ht="14.25" customHeight="1" x14ac:dyDescent="0.35">
      <c r="A91" s="15" t="s">
        <v>217</v>
      </c>
      <c r="B91" s="16" t="s">
        <v>215</v>
      </c>
      <c r="C91" s="15" t="s">
        <v>21</v>
      </c>
      <c r="D91" s="15" t="s">
        <v>23</v>
      </c>
      <c r="E91" s="15" t="s">
        <v>75</v>
      </c>
      <c r="F91" s="15">
        <v>160</v>
      </c>
      <c r="G91" s="15" t="s">
        <v>8</v>
      </c>
      <c r="H91" s="16"/>
      <c r="I91" s="15" t="s">
        <v>17</v>
      </c>
      <c r="J91" s="15" t="s">
        <v>71</v>
      </c>
      <c r="K91" s="15" t="s">
        <v>18</v>
      </c>
      <c r="L91" s="16"/>
    </row>
    <row r="92" spans="1:12" ht="14.25" customHeight="1" x14ac:dyDescent="0.35">
      <c r="A92" s="15" t="s">
        <v>218</v>
      </c>
      <c r="B92" s="16" t="s">
        <v>219</v>
      </c>
      <c r="C92" s="15" t="s">
        <v>21</v>
      </c>
      <c r="D92" s="15" t="s">
        <v>23</v>
      </c>
      <c r="E92" s="15" t="s">
        <v>75</v>
      </c>
      <c r="F92" s="15">
        <v>161</v>
      </c>
      <c r="G92" s="15" t="s">
        <v>8</v>
      </c>
      <c r="H92" s="16"/>
      <c r="I92" s="15" t="s">
        <v>17</v>
      </c>
      <c r="J92" s="15" t="s">
        <v>71</v>
      </c>
      <c r="K92" s="15" t="s">
        <v>18</v>
      </c>
      <c r="L92" s="16"/>
    </row>
    <row r="93" spans="1:12" ht="23.25" customHeight="1" x14ac:dyDescent="0.35">
      <c r="A93" s="15" t="s">
        <v>220</v>
      </c>
      <c r="B93" s="16" t="s">
        <v>221</v>
      </c>
      <c r="C93" s="15" t="s">
        <v>21</v>
      </c>
      <c r="D93" s="15" t="s">
        <v>24</v>
      </c>
      <c r="E93" s="15" t="s">
        <v>53</v>
      </c>
      <c r="F93" s="15">
        <v>281</v>
      </c>
      <c r="G93" s="15" t="s">
        <v>8</v>
      </c>
      <c r="H93" s="16"/>
      <c r="I93" s="15" t="s">
        <v>17</v>
      </c>
      <c r="J93" s="15" t="s">
        <v>48</v>
      </c>
      <c r="K93" s="15" t="s">
        <v>19</v>
      </c>
      <c r="L93" s="16" t="s">
        <v>222</v>
      </c>
    </row>
    <row r="94" spans="1:12" ht="23.25" customHeight="1" x14ac:dyDescent="0.35">
      <c r="A94" s="15" t="s">
        <v>223</v>
      </c>
      <c r="B94" s="16" t="s">
        <v>221</v>
      </c>
      <c r="C94" s="15" t="s">
        <v>21</v>
      </c>
      <c r="D94" s="15" t="s">
        <v>24</v>
      </c>
      <c r="E94" s="15" t="s">
        <v>53</v>
      </c>
      <c r="F94" s="15">
        <v>282</v>
      </c>
      <c r="G94" s="15" t="s">
        <v>8</v>
      </c>
      <c r="H94" s="16"/>
      <c r="I94" s="15" t="s">
        <v>17</v>
      </c>
      <c r="J94" s="15" t="s">
        <v>48</v>
      </c>
      <c r="K94" s="15" t="s">
        <v>19</v>
      </c>
      <c r="L94" s="16" t="s">
        <v>222</v>
      </c>
    </row>
    <row r="95" spans="1:12" ht="14.25" customHeight="1" x14ac:dyDescent="0.35">
      <c r="A95" s="15" t="s">
        <v>224</v>
      </c>
      <c r="B95" s="16" t="s">
        <v>225</v>
      </c>
      <c r="C95" s="15" t="s">
        <v>21</v>
      </c>
      <c r="D95" s="15" t="s">
        <v>24</v>
      </c>
      <c r="E95" s="15" t="s">
        <v>75</v>
      </c>
      <c r="F95" s="15">
        <v>283</v>
      </c>
      <c r="G95" s="15" t="s">
        <v>8</v>
      </c>
      <c r="H95" s="16"/>
      <c r="I95" s="15" t="s">
        <v>17</v>
      </c>
      <c r="J95" s="15" t="s">
        <v>100</v>
      </c>
      <c r="K95" s="15" t="s">
        <v>19</v>
      </c>
      <c r="L95" s="16"/>
    </row>
    <row r="96" spans="1:12" ht="14.25" customHeight="1" x14ac:dyDescent="0.35">
      <c r="A96" s="15" t="s">
        <v>226</v>
      </c>
      <c r="B96" s="16" t="s">
        <v>227</v>
      </c>
      <c r="C96" s="15" t="s">
        <v>21</v>
      </c>
      <c r="D96" s="15" t="s">
        <v>24</v>
      </c>
      <c r="E96" s="15" t="s">
        <v>75</v>
      </c>
      <c r="F96" s="15">
        <v>284</v>
      </c>
      <c r="G96" s="15" t="s">
        <v>8</v>
      </c>
      <c r="H96" s="16"/>
      <c r="I96" s="15" t="s">
        <v>17</v>
      </c>
      <c r="J96" s="15" t="s">
        <v>100</v>
      </c>
      <c r="K96" s="15" t="s">
        <v>19</v>
      </c>
      <c r="L96" s="16"/>
    </row>
    <row r="97" spans="1:12" ht="14.25" customHeight="1" x14ac:dyDescent="0.35">
      <c r="A97" s="15" t="s">
        <v>228</v>
      </c>
      <c r="B97" s="16" t="s">
        <v>229</v>
      </c>
      <c r="C97" s="15" t="s">
        <v>21</v>
      </c>
      <c r="D97" s="15" t="s">
        <v>24</v>
      </c>
      <c r="E97" s="15" t="s">
        <v>75</v>
      </c>
      <c r="F97" s="15">
        <v>285</v>
      </c>
      <c r="G97" s="15" t="s">
        <v>8</v>
      </c>
      <c r="H97" s="16"/>
      <c r="I97" s="15" t="s">
        <v>17</v>
      </c>
      <c r="J97" s="15" t="s">
        <v>100</v>
      </c>
      <c r="K97" s="15" t="s">
        <v>19</v>
      </c>
      <c r="L97" s="16"/>
    </row>
    <row r="98" spans="1:12" ht="14.25" customHeight="1" x14ac:dyDescent="0.35">
      <c r="A98" s="15" t="s">
        <v>230</v>
      </c>
      <c r="B98" s="16" t="s">
        <v>167</v>
      </c>
      <c r="C98" s="15" t="s">
        <v>21</v>
      </c>
      <c r="D98" s="15" t="s">
        <v>24</v>
      </c>
      <c r="E98" s="15" t="s">
        <v>75</v>
      </c>
      <c r="F98" s="15">
        <v>286</v>
      </c>
      <c r="G98" s="15" t="s">
        <v>8</v>
      </c>
      <c r="H98" s="16"/>
      <c r="I98" s="15" t="s">
        <v>17</v>
      </c>
      <c r="J98" s="15" t="s">
        <v>100</v>
      </c>
      <c r="K98" s="15" t="s">
        <v>18</v>
      </c>
      <c r="L98" s="16"/>
    </row>
    <row r="99" spans="1:12" ht="23.25" customHeight="1" x14ac:dyDescent="0.35">
      <c r="A99" s="15" t="s">
        <v>231</v>
      </c>
      <c r="B99" s="16" t="s">
        <v>232</v>
      </c>
      <c r="C99" s="15" t="s">
        <v>21</v>
      </c>
      <c r="D99" s="15" t="s">
        <v>24</v>
      </c>
      <c r="E99" s="15" t="s">
        <v>53</v>
      </c>
      <c r="F99" s="15">
        <v>287</v>
      </c>
      <c r="G99" s="15" t="s">
        <v>8</v>
      </c>
      <c r="H99" s="16"/>
      <c r="I99" s="15" t="s">
        <v>17</v>
      </c>
      <c r="J99" s="15" t="s">
        <v>48</v>
      </c>
      <c r="K99" s="15" t="s">
        <v>19</v>
      </c>
      <c r="L99" s="16" t="s">
        <v>222</v>
      </c>
    </row>
    <row r="100" spans="1:12" ht="23.25" customHeight="1" x14ac:dyDescent="0.35">
      <c r="A100" s="15" t="s">
        <v>233</v>
      </c>
      <c r="B100" s="16" t="s">
        <v>234</v>
      </c>
      <c r="C100" s="15" t="s">
        <v>21</v>
      </c>
      <c r="D100" s="15" t="s">
        <v>24</v>
      </c>
      <c r="E100" s="15" t="s">
        <v>53</v>
      </c>
      <c r="F100" s="15">
        <v>288</v>
      </c>
      <c r="G100" s="15" t="s">
        <v>8</v>
      </c>
      <c r="H100" s="16"/>
      <c r="I100" s="15" t="s">
        <v>17</v>
      </c>
      <c r="J100" s="15" t="s">
        <v>48</v>
      </c>
      <c r="K100" s="15" t="s">
        <v>19</v>
      </c>
      <c r="L100" s="16" t="s">
        <v>222</v>
      </c>
    </row>
    <row r="101" spans="1:12" ht="23.25" customHeight="1" x14ac:dyDescent="0.35">
      <c r="A101" s="15" t="s">
        <v>235</v>
      </c>
      <c r="B101" s="16" t="s">
        <v>236</v>
      </c>
      <c r="C101" s="15" t="s">
        <v>21</v>
      </c>
      <c r="D101" s="15" t="s">
        <v>24</v>
      </c>
      <c r="E101" s="15" t="s">
        <v>53</v>
      </c>
      <c r="F101" s="15">
        <v>289</v>
      </c>
      <c r="G101" s="15" t="s">
        <v>8</v>
      </c>
      <c r="H101" s="16"/>
      <c r="I101" s="15" t="s">
        <v>17</v>
      </c>
      <c r="J101" s="15" t="s">
        <v>48</v>
      </c>
      <c r="K101" s="15" t="s">
        <v>19</v>
      </c>
      <c r="L101" s="16" t="s">
        <v>222</v>
      </c>
    </row>
    <row r="102" spans="1:12" ht="23.25" customHeight="1" x14ac:dyDescent="0.35">
      <c r="A102" s="15" t="s">
        <v>237</v>
      </c>
      <c r="B102" s="16" t="s">
        <v>238</v>
      </c>
      <c r="C102" s="15" t="s">
        <v>21</v>
      </c>
      <c r="D102" s="15" t="s">
        <v>24</v>
      </c>
      <c r="E102" s="15" t="s">
        <v>53</v>
      </c>
      <c r="F102" s="15">
        <v>290</v>
      </c>
      <c r="G102" s="15" t="s">
        <v>8</v>
      </c>
      <c r="H102" s="16"/>
      <c r="I102" s="15" t="s">
        <v>17</v>
      </c>
      <c r="J102" s="15" t="s">
        <v>48</v>
      </c>
      <c r="K102" s="15" t="s">
        <v>19</v>
      </c>
      <c r="L102" s="16" t="s">
        <v>222</v>
      </c>
    </row>
    <row r="103" spans="1:12" ht="14.25" customHeight="1" x14ac:dyDescent="0.35">
      <c r="A103" s="15" t="s">
        <v>239</v>
      </c>
      <c r="B103" s="16" t="s">
        <v>97</v>
      </c>
      <c r="C103" s="15" t="s">
        <v>21</v>
      </c>
      <c r="D103" s="15" t="s">
        <v>24</v>
      </c>
      <c r="E103" s="15" t="s">
        <v>75</v>
      </c>
      <c r="F103" s="15">
        <v>291</v>
      </c>
      <c r="G103" s="15" t="s">
        <v>8</v>
      </c>
      <c r="H103" s="16"/>
      <c r="I103" s="15" t="s">
        <v>17</v>
      </c>
      <c r="J103" s="15" t="s">
        <v>71</v>
      </c>
      <c r="K103" s="15" t="s">
        <v>18</v>
      </c>
      <c r="L103" s="16"/>
    </row>
    <row r="104" spans="1:12" ht="14.25" customHeight="1" x14ac:dyDescent="0.35">
      <c r="A104" s="15" t="s">
        <v>240</v>
      </c>
      <c r="B104" s="16" t="s">
        <v>99</v>
      </c>
      <c r="C104" s="15" t="s">
        <v>21</v>
      </c>
      <c r="D104" s="15" t="s">
        <v>24</v>
      </c>
      <c r="E104" s="15" t="s">
        <v>75</v>
      </c>
      <c r="F104" s="15">
        <v>292</v>
      </c>
      <c r="G104" s="15" t="s">
        <v>8</v>
      </c>
      <c r="H104" s="16"/>
      <c r="I104" s="15" t="s">
        <v>17</v>
      </c>
      <c r="J104" s="15" t="s">
        <v>100</v>
      </c>
      <c r="K104" s="15" t="s">
        <v>18</v>
      </c>
      <c r="L104" s="16"/>
    </row>
    <row r="105" spans="1:12" ht="14.25" customHeight="1" x14ac:dyDescent="0.35">
      <c r="A105" s="15" t="s">
        <v>241</v>
      </c>
      <c r="B105" s="16" t="s">
        <v>102</v>
      </c>
      <c r="C105" s="15" t="s">
        <v>21</v>
      </c>
      <c r="D105" s="15" t="s">
        <v>24</v>
      </c>
      <c r="E105" s="15" t="s">
        <v>75</v>
      </c>
      <c r="F105" s="15">
        <v>293</v>
      </c>
      <c r="G105" s="15" t="s">
        <v>8</v>
      </c>
      <c r="H105" s="16"/>
      <c r="I105" s="15" t="s">
        <v>17</v>
      </c>
      <c r="J105" s="15" t="s">
        <v>71</v>
      </c>
      <c r="K105" s="15" t="s">
        <v>18</v>
      </c>
      <c r="L105" s="16"/>
    </row>
    <row r="106" spans="1:12" ht="14.25" customHeight="1" x14ac:dyDescent="0.35">
      <c r="A106" s="15" t="s">
        <v>242</v>
      </c>
      <c r="B106" s="16" t="s">
        <v>209</v>
      </c>
      <c r="C106" s="15" t="s">
        <v>21</v>
      </c>
      <c r="D106" s="15" t="s">
        <v>24</v>
      </c>
      <c r="E106" s="15" t="s">
        <v>75</v>
      </c>
      <c r="F106" s="15">
        <v>294</v>
      </c>
      <c r="G106" s="15" t="s">
        <v>8</v>
      </c>
      <c r="H106" s="16"/>
      <c r="I106" s="15" t="s">
        <v>17</v>
      </c>
      <c r="J106" s="15" t="s">
        <v>71</v>
      </c>
      <c r="K106" s="15" t="s">
        <v>18</v>
      </c>
      <c r="L106" s="16"/>
    </row>
    <row r="107" spans="1:12" ht="14.25" customHeight="1" x14ac:dyDescent="0.35">
      <c r="A107" s="15" t="s">
        <v>243</v>
      </c>
      <c r="B107" s="16" t="s">
        <v>105</v>
      </c>
      <c r="C107" s="15" t="s">
        <v>21</v>
      </c>
      <c r="D107" s="15" t="s">
        <v>24</v>
      </c>
      <c r="E107" s="15" t="s">
        <v>75</v>
      </c>
      <c r="F107" s="15">
        <v>295</v>
      </c>
      <c r="G107" s="15" t="s">
        <v>8</v>
      </c>
      <c r="H107" s="16"/>
      <c r="I107" s="15" t="s">
        <v>17</v>
      </c>
      <c r="J107" s="15" t="s">
        <v>100</v>
      </c>
      <c r="K107" s="15" t="s">
        <v>18</v>
      </c>
      <c r="L107" s="16"/>
    </row>
    <row r="108" spans="1:12" ht="14.25" customHeight="1" x14ac:dyDescent="0.35">
      <c r="A108" s="15" t="s">
        <v>244</v>
      </c>
      <c r="B108" s="16" t="s">
        <v>108</v>
      </c>
      <c r="C108" s="15" t="s">
        <v>21</v>
      </c>
      <c r="D108" s="15" t="s">
        <v>24</v>
      </c>
      <c r="E108" s="15" t="s">
        <v>75</v>
      </c>
      <c r="F108" s="15">
        <v>296</v>
      </c>
      <c r="G108" s="15" t="s">
        <v>8</v>
      </c>
      <c r="H108" s="16"/>
      <c r="I108" s="15" t="s">
        <v>17</v>
      </c>
      <c r="J108" s="15" t="s">
        <v>100</v>
      </c>
      <c r="K108" s="15" t="s">
        <v>18</v>
      </c>
      <c r="L108" s="16"/>
    </row>
    <row r="109" spans="1:12" ht="14.25" customHeight="1" x14ac:dyDescent="0.35">
      <c r="A109" s="15" t="s">
        <v>245</v>
      </c>
      <c r="B109" s="16" t="s">
        <v>246</v>
      </c>
      <c r="C109" s="15" t="s">
        <v>21</v>
      </c>
      <c r="D109" s="15" t="s">
        <v>25</v>
      </c>
      <c r="E109" s="15" t="s">
        <v>75</v>
      </c>
      <c r="F109" s="15">
        <v>297</v>
      </c>
      <c r="G109" s="15" t="s">
        <v>8</v>
      </c>
      <c r="H109" s="16"/>
      <c r="I109" s="15" t="s">
        <v>17</v>
      </c>
      <c r="J109" s="15" t="s">
        <v>71</v>
      </c>
      <c r="K109" s="15" t="s">
        <v>18</v>
      </c>
      <c r="L109" s="16"/>
    </row>
    <row r="110" spans="1:12" ht="14.25" customHeight="1" x14ac:dyDescent="0.35">
      <c r="A110" s="15" t="s">
        <v>247</v>
      </c>
      <c r="B110" s="16" t="s">
        <v>55</v>
      </c>
      <c r="C110" s="15" t="s">
        <v>21</v>
      </c>
      <c r="D110" s="15" t="s">
        <v>25</v>
      </c>
      <c r="E110" s="15" t="s">
        <v>75</v>
      </c>
      <c r="F110" s="15">
        <v>298</v>
      </c>
      <c r="G110" s="15" t="s">
        <v>8</v>
      </c>
      <c r="H110" s="16"/>
      <c r="I110" s="15" t="s">
        <v>17</v>
      </c>
      <c r="J110" s="15" t="s">
        <v>71</v>
      </c>
      <c r="K110" s="15" t="s">
        <v>18</v>
      </c>
      <c r="L110" s="16"/>
    </row>
    <row r="111" spans="1:12" ht="14.25" customHeight="1" x14ac:dyDescent="0.35">
      <c r="A111" s="15" t="s">
        <v>248</v>
      </c>
      <c r="B111" s="16" t="s">
        <v>249</v>
      </c>
      <c r="C111" s="15" t="s">
        <v>21</v>
      </c>
      <c r="D111" s="15" t="s">
        <v>25</v>
      </c>
      <c r="E111" s="15" t="s">
        <v>75</v>
      </c>
      <c r="F111" s="15">
        <v>299</v>
      </c>
      <c r="G111" s="15" t="s">
        <v>8</v>
      </c>
      <c r="H111" s="16"/>
      <c r="I111" s="15" t="s">
        <v>17</v>
      </c>
      <c r="J111" s="15" t="s">
        <v>71</v>
      </c>
      <c r="K111" s="15" t="s">
        <v>18</v>
      </c>
      <c r="L111" s="16"/>
    </row>
    <row r="112" spans="1:12" ht="14.25" customHeight="1" x14ac:dyDescent="0.35">
      <c r="A112" s="15" t="s">
        <v>250</v>
      </c>
      <c r="B112" s="16" t="s">
        <v>251</v>
      </c>
      <c r="C112" s="15" t="s">
        <v>21</v>
      </c>
      <c r="D112" s="15" t="s">
        <v>25</v>
      </c>
      <c r="E112" s="15" t="s">
        <v>75</v>
      </c>
      <c r="F112" s="15">
        <v>300</v>
      </c>
      <c r="G112" s="15" t="s">
        <v>8</v>
      </c>
      <c r="H112" s="16"/>
      <c r="I112" s="15" t="s">
        <v>17</v>
      </c>
      <c r="J112" s="15" t="s">
        <v>71</v>
      </c>
      <c r="K112" s="15" t="s">
        <v>18</v>
      </c>
      <c r="L112" s="16"/>
    </row>
    <row r="113" spans="1:12" ht="14.25" customHeight="1" x14ac:dyDescent="0.35">
      <c r="A113" s="15" t="s">
        <v>252</v>
      </c>
      <c r="B113" s="16" t="s">
        <v>253</v>
      </c>
      <c r="C113" s="15" t="s">
        <v>21</v>
      </c>
      <c r="D113" s="15" t="s">
        <v>25</v>
      </c>
      <c r="E113" s="15" t="s">
        <v>75</v>
      </c>
      <c r="F113" s="15">
        <v>301</v>
      </c>
      <c r="G113" s="15" t="s">
        <v>8</v>
      </c>
      <c r="H113" s="16"/>
      <c r="I113" s="15" t="s">
        <v>17</v>
      </c>
      <c r="J113" s="15" t="s">
        <v>71</v>
      </c>
      <c r="K113" s="15" t="s">
        <v>18</v>
      </c>
      <c r="L113" s="16"/>
    </row>
    <row r="114" spans="1:12" ht="14.25" customHeight="1" x14ac:dyDescent="0.35">
      <c r="A114" s="15" t="s">
        <v>254</v>
      </c>
      <c r="B114" s="16" t="s">
        <v>255</v>
      </c>
      <c r="C114" s="15" t="s">
        <v>21</v>
      </c>
      <c r="D114" s="15" t="s">
        <v>25</v>
      </c>
      <c r="E114" s="15" t="s">
        <v>75</v>
      </c>
      <c r="F114" s="15">
        <v>302</v>
      </c>
      <c r="G114" s="15" t="s">
        <v>8</v>
      </c>
      <c r="H114" s="16"/>
      <c r="I114" s="15" t="s">
        <v>17</v>
      </c>
      <c r="J114" s="15" t="s">
        <v>71</v>
      </c>
      <c r="K114" s="15" t="s">
        <v>18</v>
      </c>
      <c r="L114" s="16"/>
    </row>
    <row r="115" spans="1:12" ht="14.25" customHeight="1" x14ac:dyDescent="0.35">
      <c r="A115" s="15" t="s">
        <v>256</v>
      </c>
      <c r="B115" s="16" t="s">
        <v>257</v>
      </c>
      <c r="C115" s="15" t="s">
        <v>21</v>
      </c>
      <c r="D115" s="15" t="s">
        <v>25</v>
      </c>
      <c r="E115" s="15" t="s">
        <v>75</v>
      </c>
      <c r="F115" s="15">
        <v>303</v>
      </c>
      <c r="G115" s="15" t="s">
        <v>8</v>
      </c>
      <c r="H115" s="16"/>
      <c r="I115" s="15" t="s">
        <v>16</v>
      </c>
      <c r="J115" s="15" t="s">
        <v>81</v>
      </c>
      <c r="K115" s="15" t="s">
        <v>18</v>
      </c>
      <c r="L115" s="16"/>
    </row>
    <row r="116" spans="1:12" ht="14.25" customHeight="1" x14ac:dyDescent="0.35">
      <c r="A116" s="15" t="s">
        <v>258</v>
      </c>
      <c r="B116" s="16" t="s">
        <v>259</v>
      </c>
      <c r="C116" s="15" t="s">
        <v>21</v>
      </c>
      <c r="D116" s="15" t="s">
        <v>26</v>
      </c>
      <c r="E116" s="15" t="s">
        <v>75</v>
      </c>
      <c r="F116" s="15">
        <v>304</v>
      </c>
      <c r="G116" s="15" t="s">
        <v>8</v>
      </c>
      <c r="H116" s="16"/>
      <c r="I116" s="15" t="s">
        <v>17</v>
      </c>
      <c r="J116" s="15" t="s">
        <v>260</v>
      </c>
      <c r="K116" s="15" t="s">
        <v>18</v>
      </c>
      <c r="L116" s="16"/>
    </row>
    <row r="117" spans="1:12" ht="14.25" customHeight="1" x14ac:dyDescent="0.35">
      <c r="A117" s="15" t="s">
        <v>261</v>
      </c>
      <c r="B117" s="16" t="s">
        <v>262</v>
      </c>
      <c r="C117" s="15" t="s">
        <v>21</v>
      </c>
      <c r="D117" s="15" t="s">
        <v>26</v>
      </c>
      <c r="E117" s="15" t="s">
        <v>75</v>
      </c>
      <c r="F117" s="15">
        <v>305</v>
      </c>
      <c r="G117" s="15" t="s">
        <v>8</v>
      </c>
      <c r="H117" s="16"/>
      <c r="I117" s="15" t="s">
        <v>17</v>
      </c>
      <c r="J117" s="15" t="s">
        <v>260</v>
      </c>
      <c r="K117" s="15" t="s">
        <v>18</v>
      </c>
      <c r="L117" s="16"/>
    </row>
    <row r="118" spans="1:12" ht="14.25" customHeight="1" x14ac:dyDescent="0.35">
      <c r="A118" s="15" t="s">
        <v>263</v>
      </c>
      <c r="B118" s="16" t="s">
        <v>264</v>
      </c>
      <c r="C118" s="15" t="s">
        <v>21</v>
      </c>
      <c r="D118" s="15" t="s">
        <v>26</v>
      </c>
      <c r="E118" s="15" t="s">
        <v>75</v>
      </c>
      <c r="F118" s="15">
        <v>306</v>
      </c>
      <c r="G118" s="15" t="s">
        <v>8</v>
      </c>
      <c r="H118" s="16"/>
      <c r="I118" s="15" t="s">
        <v>17</v>
      </c>
      <c r="J118" s="15" t="s">
        <v>260</v>
      </c>
      <c r="K118" s="15" t="s">
        <v>18</v>
      </c>
      <c r="L118" s="16"/>
    </row>
    <row r="119" spans="1:12" ht="14.25" customHeight="1" x14ac:dyDescent="0.35">
      <c r="A119" s="15" t="s">
        <v>265</v>
      </c>
      <c r="B119" s="16" t="s">
        <v>266</v>
      </c>
      <c r="C119" s="15" t="s">
        <v>21</v>
      </c>
      <c r="D119" s="15" t="s">
        <v>26</v>
      </c>
      <c r="E119" s="15" t="s">
        <v>75</v>
      </c>
      <c r="F119" s="15">
        <v>307</v>
      </c>
      <c r="G119" s="15" t="s">
        <v>8</v>
      </c>
      <c r="H119" s="16"/>
      <c r="I119" s="15" t="s">
        <v>17</v>
      </c>
      <c r="J119" s="15" t="s">
        <v>260</v>
      </c>
      <c r="K119" s="15" t="s">
        <v>18</v>
      </c>
      <c r="L119" s="16"/>
    </row>
    <row r="120" spans="1:12" ht="14.25" customHeight="1" x14ac:dyDescent="0.35">
      <c r="A120" s="15" t="s">
        <v>267</v>
      </c>
      <c r="B120" s="16" t="s">
        <v>268</v>
      </c>
      <c r="C120" s="15" t="s">
        <v>21</v>
      </c>
      <c r="D120" s="15" t="s">
        <v>26</v>
      </c>
      <c r="E120" s="15" t="s">
        <v>75</v>
      </c>
      <c r="F120" s="15">
        <v>308</v>
      </c>
      <c r="G120" s="15" t="s">
        <v>8</v>
      </c>
      <c r="H120" s="16"/>
      <c r="I120" s="15" t="s">
        <v>17</v>
      </c>
      <c r="J120" s="15" t="s">
        <v>260</v>
      </c>
      <c r="K120" s="15" t="s">
        <v>18</v>
      </c>
      <c r="L120" s="16"/>
    </row>
    <row r="121" spans="1:12" ht="14.25" customHeight="1" x14ac:dyDescent="0.35">
      <c r="A121" s="15" t="s">
        <v>269</v>
      </c>
      <c r="B121" s="16" t="s">
        <v>270</v>
      </c>
      <c r="C121" s="15" t="s">
        <v>21</v>
      </c>
      <c r="D121" s="15" t="s">
        <v>27</v>
      </c>
      <c r="E121" s="15" t="s">
        <v>75</v>
      </c>
      <c r="F121" s="15">
        <v>309</v>
      </c>
      <c r="G121" s="15" t="s">
        <v>8</v>
      </c>
      <c r="H121" s="16"/>
      <c r="I121" s="15" t="s">
        <v>17</v>
      </c>
      <c r="J121" s="15" t="s">
        <v>271</v>
      </c>
      <c r="K121" s="15" t="s">
        <v>19</v>
      </c>
      <c r="L121" s="16"/>
    </row>
    <row r="122" spans="1:12" ht="14.25" customHeight="1" x14ac:dyDescent="0.35">
      <c r="A122" s="15" t="s">
        <v>272</v>
      </c>
      <c r="B122" s="16" t="s">
        <v>273</v>
      </c>
      <c r="C122" s="15" t="s">
        <v>21</v>
      </c>
      <c r="D122" s="15" t="s">
        <v>28</v>
      </c>
      <c r="E122" s="15" t="s">
        <v>75</v>
      </c>
      <c r="F122" s="15">
        <v>310</v>
      </c>
      <c r="G122" s="15" t="s">
        <v>8</v>
      </c>
      <c r="H122" s="16"/>
      <c r="I122" s="15" t="s">
        <v>17</v>
      </c>
      <c r="J122" s="15" t="s">
        <v>274</v>
      </c>
      <c r="K122" s="15" t="s">
        <v>19</v>
      </c>
      <c r="L122" s="16"/>
    </row>
    <row r="123" spans="1:12" ht="14.25" customHeight="1" x14ac:dyDescent="0.35">
      <c r="A123" s="15" t="s">
        <v>275</v>
      </c>
      <c r="B123" s="16" t="s">
        <v>55</v>
      </c>
      <c r="C123" s="15" t="s">
        <v>21</v>
      </c>
      <c r="D123" s="15" t="s">
        <v>28</v>
      </c>
      <c r="E123" s="15" t="s">
        <v>53</v>
      </c>
      <c r="F123" s="15">
        <v>311</v>
      </c>
      <c r="G123" s="15" t="s">
        <v>8</v>
      </c>
      <c r="H123" s="16"/>
      <c r="I123" s="15" t="s">
        <v>17</v>
      </c>
      <c r="J123" s="15" t="s">
        <v>274</v>
      </c>
      <c r="K123" s="15" t="s">
        <v>19</v>
      </c>
      <c r="L123" s="16"/>
    </row>
    <row r="124" spans="1:12" ht="14.25" customHeight="1" x14ac:dyDescent="0.35">
      <c r="A124" s="15" t="s">
        <v>276</v>
      </c>
      <c r="B124" s="16" t="s">
        <v>277</v>
      </c>
      <c r="C124" s="15" t="s">
        <v>21</v>
      </c>
      <c r="D124" s="15" t="s">
        <v>28</v>
      </c>
      <c r="E124" s="15" t="s">
        <v>75</v>
      </c>
      <c r="F124" s="15">
        <v>312</v>
      </c>
      <c r="G124" s="15" t="s">
        <v>8</v>
      </c>
      <c r="H124" s="16"/>
      <c r="I124" s="15" t="s">
        <v>17</v>
      </c>
      <c r="J124" s="15" t="s">
        <v>274</v>
      </c>
      <c r="K124" s="15" t="s">
        <v>19</v>
      </c>
      <c r="L124" s="16"/>
    </row>
    <row r="125" spans="1:12" ht="14.25" customHeight="1" x14ac:dyDescent="0.35">
      <c r="A125" s="15" t="s">
        <v>278</v>
      </c>
      <c r="B125" s="16" t="s">
        <v>279</v>
      </c>
      <c r="C125" s="15" t="s">
        <v>21</v>
      </c>
      <c r="D125" s="15" t="s">
        <v>28</v>
      </c>
      <c r="E125" s="15" t="s">
        <v>68</v>
      </c>
      <c r="F125" s="15">
        <v>313</v>
      </c>
      <c r="G125" s="15" t="s">
        <v>8</v>
      </c>
      <c r="H125" s="16"/>
      <c r="I125" s="15" t="s">
        <v>17</v>
      </c>
      <c r="J125" s="15" t="s">
        <v>274</v>
      </c>
      <c r="K125" s="15" t="s">
        <v>19</v>
      </c>
      <c r="L125" s="16"/>
    </row>
    <row r="126" spans="1:12" ht="14.25" customHeight="1" x14ac:dyDescent="0.35">
      <c r="A126" s="15" t="s">
        <v>280</v>
      </c>
      <c r="B126" s="16" t="s">
        <v>281</v>
      </c>
      <c r="C126" s="15" t="s">
        <v>21</v>
      </c>
      <c r="D126" s="15" t="s">
        <v>28</v>
      </c>
      <c r="E126" s="15" t="s">
        <v>75</v>
      </c>
      <c r="F126" s="15">
        <v>314</v>
      </c>
      <c r="G126" s="15" t="s">
        <v>8</v>
      </c>
      <c r="H126" s="16"/>
      <c r="I126" s="15" t="s">
        <v>17</v>
      </c>
      <c r="J126" s="15" t="s">
        <v>274</v>
      </c>
      <c r="K126" s="15" t="s">
        <v>19</v>
      </c>
      <c r="L126" s="16"/>
    </row>
    <row r="127" spans="1:12" ht="14.25" customHeight="1" x14ac:dyDescent="0.35">
      <c r="A127" s="15" t="s">
        <v>282</v>
      </c>
      <c r="B127" s="16" t="s">
        <v>283</v>
      </c>
      <c r="C127" s="15" t="s">
        <v>21</v>
      </c>
      <c r="D127" s="15" t="s">
        <v>28</v>
      </c>
      <c r="E127" s="15" t="s">
        <v>75</v>
      </c>
      <c r="F127" s="15">
        <v>315</v>
      </c>
      <c r="G127" s="15" t="s">
        <v>8</v>
      </c>
      <c r="H127" s="16"/>
      <c r="I127" s="15" t="s">
        <v>17</v>
      </c>
      <c r="J127" s="15" t="s">
        <v>271</v>
      </c>
      <c r="K127" s="15" t="s">
        <v>19</v>
      </c>
      <c r="L127" s="16"/>
    </row>
    <row r="128" spans="1:12" ht="14.25" customHeight="1" x14ac:dyDescent="0.35">
      <c r="A128" s="15" t="s">
        <v>284</v>
      </c>
      <c r="B128" s="16" t="s">
        <v>285</v>
      </c>
      <c r="C128" s="15" t="s">
        <v>30</v>
      </c>
      <c r="D128" s="15" t="s">
        <v>22</v>
      </c>
      <c r="E128" s="15" t="s">
        <v>47</v>
      </c>
      <c r="F128" s="15">
        <v>163</v>
      </c>
      <c r="G128" s="15" t="s">
        <v>8</v>
      </c>
      <c r="H128" s="16"/>
      <c r="I128" s="15" t="s">
        <v>17</v>
      </c>
      <c r="J128" s="15" t="s">
        <v>48</v>
      </c>
      <c r="K128" s="15" t="s">
        <v>19</v>
      </c>
      <c r="L128" s="16"/>
    </row>
    <row r="129" spans="1:12" ht="14.25" customHeight="1" x14ac:dyDescent="0.35">
      <c r="A129" s="15" t="s">
        <v>286</v>
      </c>
      <c r="B129" s="16" t="s">
        <v>50</v>
      </c>
      <c r="C129" s="15" t="s">
        <v>30</v>
      </c>
      <c r="D129" s="15" t="s">
        <v>22</v>
      </c>
      <c r="E129" s="15" t="s">
        <v>68</v>
      </c>
      <c r="F129" s="15">
        <v>164</v>
      </c>
      <c r="G129" s="15" t="s">
        <v>8</v>
      </c>
      <c r="H129" s="16"/>
      <c r="I129" s="15" t="s">
        <v>17</v>
      </c>
      <c r="J129" s="15" t="s">
        <v>48</v>
      </c>
      <c r="K129" s="15" t="s">
        <v>18</v>
      </c>
      <c r="L129" s="16"/>
    </row>
    <row r="130" spans="1:12" ht="14.25" customHeight="1" x14ac:dyDescent="0.35">
      <c r="A130" s="15" t="s">
        <v>287</v>
      </c>
      <c r="B130" s="16" t="s">
        <v>67</v>
      </c>
      <c r="C130" s="15" t="s">
        <v>30</v>
      </c>
      <c r="D130" s="15" t="s">
        <v>22</v>
      </c>
      <c r="E130" s="15" t="s">
        <v>68</v>
      </c>
      <c r="F130" s="15">
        <v>165</v>
      </c>
      <c r="G130" s="15" t="s">
        <v>8</v>
      </c>
      <c r="H130" s="16"/>
      <c r="I130" s="15" t="s">
        <v>17</v>
      </c>
      <c r="J130" s="15" t="s">
        <v>48</v>
      </c>
      <c r="K130" s="15" t="s">
        <v>19</v>
      </c>
      <c r="L130" s="16"/>
    </row>
    <row r="131" spans="1:12" ht="14.25" customHeight="1" x14ac:dyDescent="0.35">
      <c r="A131" s="15" t="s">
        <v>288</v>
      </c>
      <c r="B131" s="16" t="s">
        <v>289</v>
      </c>
      <c r="C131" s="15" t="s">
        <v>30</v>
      </c>
      <c r="D131" s="15" t="s">
        <v>22</v>
      </c>
      <c r="E131" s="15" t="s">
        <v>47</v>
      </c>
      <c r="F131" s="15">
        <v>166</v>
      </c>
      <c r="G131" s="15" t="s">
        <v>8</v>
      </c>
      <c r="H131" s="16"/>
      <c r="I131" s="15" t="s">
        <v>17</v>
      </c>
      <c r="J131" s="15" t="s">
        <v>48</v>
      </c>
      <c r="K131" s="15" t="s">
        <v>18</v>
      </c>
      <c r="L131" s="16"/>
    </row>
    <row r="132" spans="1:12" ht="14.25" customHeight="1" x14ac:dyDescent="0.35">
      <c r="A132" s="15" t="s">
        <v>290</v>
      </c>
      <c r="B132" s="16" t="s">
        <v>291</v>
      </c>
      <c r="C132" s="15" t="s">
        <v>30</v>
      </c>
      <c r="D132" s="15" t="s">
        <v>22</v>
      </c>
      <c r="E132" s="15" t="s">
        <v>53</v>
      </c>
      <c r="F132" s="15">
        <v>167</v>
      </c>
      <c r="G132" s="15" t="s">
        <v>8</v>
      </c>
      <c r="H132" s="16"/>
      <c r="I132" s="15" t="s">
        <v>17</v>
      </c>
      <c r="J132" s="15" t="s">
        <v>48</v>
      </c>
      <c r="K132" s="15" t="s">
        <v>19</v>
      </c>
      <c r="L132" s="16"/>
    </row>
    <row r="133" spans="1:12" ht="14.25" customHeight="1" x14ac:dyDescent="0.35">
      <c r="A133" s="15" t="s">
        <v>292</v>
      </c>
      <c r="B133" s="16" t="s">
        <v>55</v>
      </c>
      <c r="C133" s="15" t="s">
        <v>30</v>
      </c>
      <c r="D133" s="15" t="s">
        <v>22</v>
      </c>
      <c r="E133" s="15" t="s">
        <v>53</v>
      </c>
      <c r="F133" s="15">
        <v>168</v>
      </c>
      <c r="G133" s="15" t="s">
        <v>8</v>
      </c>
      <c r="H133" s="16"/>
      <c r="I133" s="15" t="s">
        <v>17</v>
      </c>
      <c r="J133" s="15" t="s">
        <v>48</v>
      </c>
      <c r="K133" s="15" t="s">
        <v>19</v>
      </c>
      <c r="L133" s="16"/>
    </row>
    <row r="134" spans="1:12" ht="14.25" customHeight="1" x14ac:dyDescent="0.35">
      <c r="A134" s="15" t="s">
        <v>293</v>
      </c>
      <c r="B134" s="16" t="s">
        <v>294</v>
      </c>
      <c r="C134" s="15" t="s">
        <v>30</v>
      </c>
      <c r="D134" s="15" t="s">
        <v>22</v>
      </c>
      <c r="E134" s="15" t="s">
        <v>47</v>
      </c>
      <c r="F134" s="15">
        <v>169</v>
      </c>
      <c r="G134" s="15" t="s">
        <v>8</v>
      </c>
      <c r="H134" s="16"/>
      <c r="I134" s="15" t="s">
        <v>17</v>
      </c>
      <c r="J134" s="15" t="s">
        <v>48</v>
      </c>
      <c r="K134" s="15" t="s">
        <v>18</v>
      </c>
      <c r="L134" s="16"/>
    </row>
    <row r="135" spans="1:12" ht="14.25" customHeight="1" x14ac:dyDescent="0.35">
      <c r="A135" s="15" t="s">
        <v>295</v>
      </c>
      <c r="B135" s="16" t="s">
        <v>296</v>
      </c>
      <c r="C135" s="15" t="s">
        <v>30</v>
      </c>
      <c r="D135" s="15" t="s">
        <v>22</v>
      </c>
      <c r="E135" s="15" t="s">
        <v>47</v>
      </c>
      <c r="F135" s="15">
        <v>170</v>
      </c>
      <c r="G135" s="15" t="s">
        <v>8</v>
      </c>
      <c r="H135" s="16"/>
      <c r="I135" s="15" t="s">
        <v>17</v>
      </c>
      <c r="J135" s="15" t="s">
        <v>48</v>
      </c>
      <c r="K135" s="15" t="s">
        <v>19</v>
      </c>
      <c r="L135" s="16"/>
    </row>
    <row r="136" spans="1:12" ht="14.25" customHeight="1" x14ac:dyDescent="0.35">
      <c r="A136" s="15" t="s">
        <v>297</v>
      </c>
      <c r="B136" s="16" t="s">
        <v>298</v>
      </c>
      <c r="C136" s="15" t="s">
        <v>30</v>
      </c>
      <c r="D136" s="15" t="s">
        <v>22</v>
      </c>
      <c r="E136" s="15" t="s">
        <v>47</v>
      </c>
      <c r="F136" s="15">
        <v>171</v>
      </c>
      <c r="G136" s="15" t="s">
        <v>8</v>
      </c>
      <c r="H136" s="16"/>
      <c r="I136" s="15" t="s">
        <v>17</v>
      </c>
      <c r="J136" s="15" t="s">
        <v>48</v>
      </c>
      <c r="K136" s="15" t="s">
        <v>18</v>
      </c>
      <c r="L136" s="16"/>
    </row>
    <row r="137" spans="1:12" ht="14.25" customHeight="1" x14ac:dyDescent="0.35">
      <c r="A137" s="15" t="s">
        <v>299</v>
      </c>
      <c r="B137" s="16" t="s">
        <v>62</v>
      </c>
      <c r="C137" s="15" t="s">
        <v>30</v>
      </c>
      <c r="D137" s="15" t="s">
        <v>22</v>
      </c>
      <c r="E137" s="15" t="s">
        <v>47</v>
      </c>
      <c r="F137" s="15">
        <v>172</v>
      </c>
      <c r="G137" s="15" t="s">
        <v>8</v>
      </c>
      <c r="H137" s="16"/>
      <c r="I137" s="15" t="s">
        <v>17</v>
      </c>
      <c r="J137" s="15" t="s">
        <v>48</v>
      </c>
      <c r="K137" s="15" t="s">
        <v>18</v>
      </c>
      <c r="L137" s="16"/>
    </row>
    <row r="138" spans="1:12" ht="14.25" customHeight="1" x14ac:dyDescent="0.35">
      <c r="A138" s="15" t="s">
        <v>300</v>
      </c>
      <c r="B138" s="16" t="s">
        <v>65</v>
      </c>
      <c r="C138" s="15" t="s">
        <v>30</v>
      </c>
      <c r="D138" s="15" t="s">
        <v>22</v>
      </c>
      <c r="E138" s="15" t="s">
        <v>47</v>
      </c>
      <c r="F138" s="15">
        <v>173</v>
      </c>
      <c r="G138" s="15" t="s">
        <v>8</v>
      </c>
      <c r="H138" s="16"/>
      <c r="I138" s="15" t="s">
        <v>17</v>
      </c>
      <c r="J138" s="15" t="s">
        <v>48</v>
      </c>
      <c r="K138" s="15" t="s">
        <v>18</v>
      </c>
      <c r="L138" s="16"/>
    </row>
    <row r="139" spans="1:12" ht="14.25" customHeight="1" x14ac:dyDescent="0.35">
      <c r="A139" s="15" t="s">
        <v>301</v>
      </c>
      <c r="B139" s="16" t="s">
        <v>70</v>
      </c>
      <c r="C139" s="15" t="s">
        <v>30</v>
      </c>
      <c r="D139" s="15" t="s">
        <v>22</v>
      </c>
      <c r="E139" s="15" t="s">
        <v>47</v>
      </c>
      <c r="F139" s="15">
        <v>174</v>
      </c>
      <c r="G139" s="15" t="s">
        <v>8</v>
      </c>
      <c r="H139" s="16"/>
      <c r="I139" s="15" t="s">
        <v>17</v>
      </c>
      <c r="J139" s="15" t="s">
        <v>48</v>
      </c>
      <c r="K139" s="15" t="s">
        <v>18</v>
      </c>
      <c r="L139" s="16"/>
    </row>
    <row r="140" spans="1:12" ht="14.25" customHeight="1" x14ac:dyDescent="0.35">
      <c r="A140" s="15" t="s">
        <v>302</v>
      </c>
      <c r="B140" s="16" t="s">
        <v>74</v>
      </c>
      <c r="C140" s="15" t="s">
        <v>30</v>
      </c>
      <c r="D140" s="15" t="s">
        <v>22</v>
      </c>
      <c r="E140" s="15" t="s">
        <v>75</v>
      </c>
      <c r="F140" s="15">
        <v>175</v>
      </c>
      <c r="G140" s="15" t="s">
        <v>8</v>
      </c>
      <c r="H140" s="16"/>
      <c r="I140" s="15" t="s">
        <v>17</v>
      </c>
      <c r="J140" s="15" t="s">
        <v>71</v>
      </c>
      <c r="K140" s="15" t="s">
        <v>19</v>
      </c>
      <c r="L140" s="16"/>
    </row>
    <row r="141" spans="1:12" ht="14.25" customHeight="1" x14ac:dyDescent="0.35">
      <c r="A141" s="15" t="s">
        <v>303</v>
      </c>
      <c r="B141" s="16" t="s">
        <v>77</v>
      </c>
      <c r="C141" s="15" t="s">
        <v>30</v>
      </c>
      <c r="D141" s="15" t="s">
        <v>22</v>
      </c>
      <c r="E141" s="15" t="s">
        <v>75</v>
      </c>
      <c r="F141" s="15">
        <v>176</v>
      </c>
      <c r="G141" s="15" t="s">
        <v>8</v>
      </c>
      <c r="H141" s="16"/>
      <c r="I141" s="15" t="s">
        <v>17</v>
      </c>
      <c r="J141" s="15" t="s">
        <v>71</v>
      </c>
      <c r="K141" s="15" t="s">
        <v>19</v>
      </c>
      <c r="L141" s="16"/>
    </row>
    <row r="142" spans="1:12" ht="14.25" customHeight="1" x14ac:dyDescent="0.35">
      <c r="A142" s="15" t="s">
        <v>304</v>
      </c>
      <c r="B142" s="16" t="s">
        <v>305</v>
      </c>
      <c r="C142" s="15" t="s">
        <v>30</v>
      </c>
      <c r="D142" s="15" t="s">
        <v>22</v>
      </c>
      <c r="E142" s="15" t="s">
        <v>47</v>
      </c>
      <c r="F142" s="15">
        <v>177</v>
      </c>
      <c r="G142" s="15" t="s">
        <v>8</v>
      </c>
      <c r="H142" s="16"/>
      <c r="I142" s="15" t="s">
        <v>17</v>
      </c>
      <c r="J142" s="15" t="s">
        <v>48</v>
      </c>
      <c r="K142" s="15" t="s">
        <v>18</v>
      </c>
      <c r="L142" s="16"/>
    </row>
    <row r="143" spans="1:12" ht="14.25" customHeight="1" x14ac:dyDescent="0.35">
      <c r="A143" s="15" t="s">
        <v>306</v>
      </c>
      <c r="B143" s="16" t="s">
        <v>307</v>
      </c>
      <c r="C143" s="15" t="s">
        <v>30</v>
      </c>
      <c r="D143" s="15" t="s">
        <v>22</v>
      </c>
      <c r="E143" s="15" t="s">
        <v>47</v>
      </c>
      <c r="F143" s="15">
        <v>178</v>
      </c>
      <c r="G143" s="15" t="s">
        <v>8</v>
      </c>
      <c r="H143" s="16"/>
      <c r="I143" s="15" t="s">
        <v>17</v>
      </c>
      <c r="J143" s="15" t="s">
        <v>48</v>
      </c>
      <c r="K143" s="15" t="s">
        <v>18</v>
      </c>
      <c r="L143" s="16"/>
    </row>
    <row r="144" spans="1:12" ht="14.25" customHeight="1" x14ac:dyDescent="0.35">
      <c r="A144" s="15" t="s">
        <v>308</v>
      </c>
      <c r="B144" s="16" t="s">
        <v>309</v>
      </c>
      <c r="C144" s="15" t="s">
        <v>30</v>
      </c>
      <c r="D144" s="15" t="s">
        <v>22</v>
      </c>
      <c r="E144" s="15" t="s">
        <v>75</v>
      </c>
      <c r="F144" s="15">
        <v>179</v>
      </c>
      <c r="G144" s="15" t="s">
        <v>8</v>
      </c>
      <c r="H144" s="16"/>
      <c r="I144" s="15" t="s">
        <v>17</v>
      </c>
      <c r="J144" s="15" t="s">
        <v>71</v>
      </c>
      <c r="K144" s="15" t="s">
        <v>18</v>
      </c>
      <c r="L144" s="16"/>
    </row>
    <row r="145" spans="1:12" ht="14.25" customHeight="1" x14ac:dyDescent="0.35">
      <c r="A145" s="15" t="s">
        <v>310</v>
      </c>
      <c r="B145" s="16" t="s">
        <v>86</v>
      </c>
      <c r="C145" s="15" t="s">
        <v>30</v>
      </c>
      <c r="D145" s="15" t="s">
        <v>22</v>
      </c>
      <c r="E145" s="15" t="s">
        <v>75</v>
      </c>
      <c r="F145" s="15">
        <v>180</v>
      </c>
      <c r="G145" s="15" t="s">
        <v>8</v>
      </c>
      <c r="H145" s="16"/>
      <c r="I145" s="15" t="s">
        <v>17</v>
      </c>
      <c r="J145" s="15" t="s">
        <v>71</v>
      </c>
      <c r="K145" s="15" t="s">
        <v>18</v>
      </c>
      <c r="L145" s="16"/>
    </row>
    <row r="146" spans="1:12" ht="14.25" customHeight="1" x14ac:dyDescent="0.35">
      <c r="A146" s="15" t="s">
        <v>311</v>
      </c>
      <c r="B146" s="16" t="s">
        <v>312</v>
      </c>
      <c r="C146" s="15" t="s">
        <v>30</v>
      </c>
      <c r="D146" s="15" t="s">
        <v>22</v>
      </c>
      <c r="E146" s="15" t="s">
        <v>75</v>
      </c>
      <c r="F146" s="15">
        <v>181</v>
      </c>
      <c r="G146" s="15" t="s">
        <v>8</v>
      </c>
      <c r="H146" s="16"/>
      <c r="I146" s="15" t="s">
        <v>17</v>
      </c>
      <c r="J146" s="15" t="s">
        <v>71</v>
      </c>
      <c r="K146" s="15" t="s">
        <v>18</v>
      </c>
      <c r="L146" s="16"/>
    </row>
    <row r="147" spans="1:12" ht="14.25" customHeight="1" x14ac:dyDescent="0.35">
      <c r="A147" s="15" t="s">
        <v>313</v>
      </c>
      <c r="B147" s="16" t="s">
        <v>314</v>
      </c>
      <c r="C147" s="15" t="s">
        <v>30</v>
      </c>
      <c r="D147" s="15" t="s">
        <v>22</v>
      </c>
      <c r="E147" s="15" t="s">
        <v>75</v>
      </c>
      <c r="F147" s="15">
        <v>182</v>
      </c>
      <c r="G147" s="15" t="s">
        <v>8</v>
      </c>
      <c r="H147" s="16"/>
      <c r="I147" s="15" t="s">
        <v>17</v>
      </c>
      <c r="J147" s="15" t="s">
        <v>71</v>
      </c>
      <c r="K147" s="15" t="s">
        <v>18</v>
      </c>
      <c r="L147" s="16"/>
    </row>
    <row r="148" spans="1:12" ht="14.25" customHeight="1" x14ac:dyDescent="0.35">
      <c r="A148" s="15" t="s">
        <v>315</v>
      </c>
      <c r="B148" s="16" t="s">
        <v>314</v>
      </c>
      <c r="C148" s="15" t="s">
        <v>30</v>
      </c>
      <c r="D148" s="15" t="s">
        <v>22</v>
      </c>
      <c r="E148" s="15" t="s">
        <v>75</v>
      </c>
      <c r="F148" s="15">
        <v>183</v>
      </c>
      <c r="G148" s="15" t="s">
        <v>8</v>
      </c>
      <c r="H148" s="16"/>
      <c r="I148" s="15" t="s">
        <v>17</v>
      </c>
      <c r="J148" s="15" t="s">
        <v>71</v>
      </c>
      <c r="K148" s="15" t="s">
        <v>18</v>
      </c>
      <c r="L148" s="16"/>
    </row>
    <row r="149" spans="1:12" ht="14.25" customHeight="1" x14ac:dyDescent="0.35">
      <c r="A149" s="15" t="s">
        <v>316</v>
      </c>
      <c r="B149" s="16" t="s">
        <v>317</v>
      </c>
      <c r="C149" s="15" t="s">
        <v>30</v>
      </c>
      <c r="D149" s="15" t="s">
        <v>22</v>
      </c>
      <c r="E149" s="15" t="s">
        <v>75</v>
      </c>
      <c r="F149" s="15">
        <v>184</v>
      </c>
      <c r="G149" s="15" t="s">
        <v>8</v>
      </c>
      <c r="H149" s="16"/>
      <c r="I149" s="15" t="s">
        <v>17</v>
      </c>
      <c r="J149" s="15" t="s">
        <v>71</v>
      </c>
      <c r="K149" s="15" t="s">
        <v>18</v>
      </c>
      <c r="L149" s="16"/>
    </row>
    <row r="150" spans="1:12" ht="14.25" customHeight="1" x14ac:dyDescent="0.35">
      <c r="A150" s="15" t="s">
        <v>318</v>
      </c>
      <c r="B150" s="16" t="s">
        <v>97</v>
      </c>
      <c r="C150" s="15" t="s">
        <v>30</v>
      </c>
      <c r="D150" s="15" t="s">
        <v>22</v>
      </c>
      <c r="E150" s="15" t="s">
        <v>75</v>
      </c>
      <c r="F150" s="15">
        <v>185</v>
      </c>
      <c r="G150" s="15" t="s">
        <v>8</v>
      </c>
      <c r="H150" s="16"/>
      <c r="I150" s="15" t="s">
        <v>17</v>
      </c>
      <c r="J150" s="15" t="s">
        <v>71</v>
      </c>
      <c r="K150" s="15" t="s">
        <v>18</v>
      </c>
      <c r="L150" s="16"/>
    </row>
    <row r="151" spans="1:12" ht="14.25" customHeight="1" x14ac:dyDescent="0.35">
      <c r="A151" s="15" t="s">
        <v>319</v>
      </c>
      <c r="B151" s="16" t="s">
        <v>99</v>
      </c>
      <c r="C151" s="15" t="s">
        <v>30</v>
      </c>
      <c r="D151" s="15" t="s">
        <v>22</v>
      </c>
      <c r="E151" s="15" t="s">
        <v>75</v>
      </c>
      <c r="F151" s="15">
        <v>186</v>
      </c>
      <c r="G151" s="15" t="s">
        <v>8</v>
      </c>
      <c r="H151" s="16"/>
      <c r="I151" s="15" t="s">
        <v>17</v>
      </c>
      <c r="J151" s="15" t="s">
        <v>100</v>
      </c>
      <c r="K151" s="15" t="s">
        <v>18</v>
      </c>
      <c r="L151" s="16"/>
    </row>
    <row r="152" spans="1:12" ht="14.25" customHeight="1" x14ac:dyDescent="0.35">
      <c r="A152" s="15" t="s">
        <v>320</v>
      </c>
      <c r="B152" s="16" t="s">
        <v>102</v>
      </c>
      <c r="C152" s="15" t="s">
        <v>30</v>
      </c>
      <c r="D152" s="15" t="s">
        <v>22</v>
      </c>
      <c r="E152" s="15" t="s">
        <v>75</v>
      </c>
      <c r="F152" s="15">
        <v>187</v>
      </c>
      <c r="G152" s="15" t="s">
        <v>8</v>
      </c>
      <c r="H152" s="16"/>
      <c r="I152" s="15" t="s">
        <v>17</v>
      </c>
      <c r="J152" s="15" t="s">
        <v>71</v>
      </c>
      <c r="K152" s="15" t="s">
        <v>18</v>
      </c>
      <c r="L152" s="16"/>
    </row>
    <row r="153" spans="1:12" ht="14.25" customHeight="1" x14ac:dyDescent="0.35">
      <c r="A153" s="15" t="s">
        <v>321</v>
      </c>
      <c r="B153" s="16" t="s">
        <v>209</v>
      </c>
      <c r="C153" s="15" t="s">
        <v>30</v>
      </c>
      <c r="D153" s="15" t="s">
        <v>22</v>
      </c>
      <c r="E153" s="15" t="s">
        <v>75</v>
      </c>
      <c r="F153" s="15">
        <v>188</v>
      </c>
      <c r="G153" s="15" t="s">
        <v>8</v>
      </c>
      <c r="H153" s="16"/>
      <c r="I153" s="15" t="s">
        <v>17</v>
      </c>
      <c r="J153" s="15" t="s">
        <v>71</v>
      </c>
      <c r="K153" s="15" t="s">
        <v>18</v>
      </c>
      <c r="L153" s="16"/>
    </row>
    <row r="154" spans="1:12" ht="14.25" customHeight="1" x14ac:dyDescent="0.35">
      <c r="A154" s="15" t="s">
        <v>322</v>
      </c>
      <c r="B154" s="16" t="s">
        <v>105</v>
      </c>
      <c r="C154" s="15" t="s">
        <v>30</v>
      </c>
      <c r="D154" s="15" t="s">
        <v>22</v>
      </c>
      <c r="E154" s="15" t="s">
        <v>75</v>
      </c>
      <c r="F154" s="15">
        <v>190</v>
      </c>
      <c r="G154" s="15" t="s">
        <v>8</v>
      </c>
      <c r="H154" s="16"/>
      <c r="I154" s="15" t="s">
        <v>17</v>
      </c>
      <c r="J154" s="15" t="s">
        <v>100</v>
      </c>
      <c r="K154" s="15" t="s">
        <v>18</v>
      </c>
      <c r="L154" s="16"/>
    </row>
    <row r="155" spans="1:12" ht="14.25" customHeight="1" x14ac:dyDescent="0.35">
      <c r="A155" s="15" t="s">
        <v>323</v>
      </c>
      <c r="B155" s="16" t="s">
        <v>212</v>
      </c>
      <c r="C155" s="15" t="s">
        <v>30</v>
      </c>
      <c r="D155" s="15" t="s">
        <v>22</v>
      </c>
      <c r="E155" s="15" t="s">
        <v>75</v>
      </c>
      <c r="F155" s="15">
        <v>191</v>
      </c>
      <c r="G155" s="15" t="s">
        <v>8</v>
      </c>
      <c r="H155" s="16"/>
      <c r="I155" s="15" t="s">
        <v>17</v>
      </c>
      <c r="J155" s="15" t="s">
        <v>71</v>
      </c>
      <c r="K155" s="15" t="s">
        <v>18</v>
      </c>
      <c r="L155" s="16"/>
    </row>
    <row r="156" spans="1:12" ht="14.25" customHeight="1" x14ac:dyDescent="0.35">
      <c r="A156" s="15" t="s">
        <v>324</v>
      </c>
      <c r="B156" s="16" t="s">
        <v>108</v>
      </c>
      <c r="C156" s="15" t="s">
        <v>30</v>
      </c>
      <c r="D156" s="15" t="s">
        <v>22</v>
      </c>
      <c r="E156" s="15" t="s">
        <v>75</v>
      </c>
      <c r="F156" s="15">
        <v>192</v>
      </c>
      <c r="G156" s="15" t="s">
        <v>8</v>
      </c>
      <c r="H156" s="16"/>
      <c r="I156" s="15" t="s">
        <v>17</v>
      </c>
      <c r="J156" s="15" t="s">
        <v>100</v>
      </c>
      <c r="K156" s="15" t="s">
        <v>18</v>
      </c>
      <c r="L156" s="16"/>
    </row>
    <row r="157" spans="1:12" ht="14.25" customHeight="1" x14ac:dyDescent="0.35">
      <c r="A157" s="15" t="s">
        <v>325</v>
      </c>
      <c r="B157" s="16" t="s">
        <v>326</v>
      </c>
      <c r="C157" s="15" t="s">
        <v>30</v>
      </c>
      <c r="D157" s="15" t="s">
        <v>22</v>
      </c>
      <c r="E157" s="15" t="s">
        <v>75</v>
      </c>
      <c r="F157" s="15">
        <v>193</v>
      </c>
      <c r="G157" s="15" t="s">
        <v>8</v>
      </c>
      <c r="H157" s="16"/>
      <c r="I157" s="15" t="s">
        <v>17</v>
      </c>
      <c r="J157" s="15" t="s">
        <v>71</v>
      </c>
      <c r="K157" s="15" t="s">
        <v>18</v>
      </c>
      <c r="L157" s="16"/>
    </row>
    <row r="158" spans="1:12" ht="14.25" customHeight="1" x14ac:dyDescent="0.35">
      <c r="A158" s="15" t="s">
        <v>327</v>
      </c>
      <c r="B158" s="16" t="s">
        <v>328</v>
      </c>
      <c r="C158" s="15" t="s">
        <v>30</v>
      </c>
      <c r="D158" s="15" t="s">
        <v>22</v>
      </c>
      <c r="E158" s="15" t="s">
        <v>75</v>
      </c>
      <c r="F158" s="15">
        <v>194</v>
      </c>
      <c r="G158" s="15" t="s">
        <v>8</v>
      </c>
      <c r="H158" s="16"/>
      <c r="I158" s="15" t="s">
        <v>17</v>
      </c>
      <c r="J158" s="15" t="s">
        <v>71</v>
      </c>
      <c r="K158" s="15" t="s">
        <v>18</v>
      </c>
      <c r="L158" s="16"/>
    </row>
    <row r="159" spans="1:12" ht="14.25" customHeight="1" x14ac:dyDescent="0.35">
      <c r="A159" s="15" t="s">
        <v>329</v>
      </c>
      <c r="B159" s="16" t="s">
        <v>219</v>
      </c>
      <c r="C159" s="15" t="s">
        <v>30</v>
      </c>
      <c r="D159" s="15" t="s">
        <v>22</v>
      </c>
      <c r="E159" s="15" t="s">
        <v>75</v>
      </c>
      <c r="F159" s="15">
        <v>195</v>
      </c>
      <c r="G159" s="15" t="s">
        <v>8</v>
      </c>
      <c r="H159" s="16"/>
      <c r="I159" s="15" t="s">
        <v>17</v>
      </c>
      <c r="J159" s="15" t="s">
        <v>71</v>
      </c>
      <c r="K159" s="15" t="s">
        <v>18</v>
      </c>
      <c r="L159" s="16"/>
    </row>
    <row r="160" spans="1:12" ht="14.25" customHeight="1" x14ac:dyDescent="0.35">
      <c r="A160" s="15" t="s">
        <v>330</v>
      </c>
      <c r="B160" s="16" t="s">
        <v>331</v>
      </c>
      <c r="C160" s="15" t="s">
        <v>30</v>
      </c>
      <c r="D160" s="15" t="s">
        <v>23</v>
      </c>
      <c r="E160" s="15" t="s">
        <v>75</v>
      </c>
      <c r="F160" s="15">
        <v>196</v>
      </c>
      <c r="G160" s="15" t="s">
        <v>8</v>
      </c>
      <c r="H160" s="16"/>
      <c r="I160" s="15" t="s">
        <v>17</v>
      </c>
      <c r="J160" s="15" t="s">
        <v>71</v>
      </c>
      <c r="K160" s="15" t="s">
        <v>19</v>
      </c>
      <c r="L160" s="16"/>
    </row>
    <row r="161" spans="1:12" ht="14.25" customHeight="1" x14ac:dyDescent="0.35">
      <c r="A161" s="15" t="s">
        <v>332</v>
      </c>
      <c r="B161" s="16" t="s">
        <v>124</v>
      </c>
      <c r="C161" s="15" t="s">
        <v>30</v>
      </c>
      <c r="D161" s="15" t="s">
        <v>23</v>
      </c>
      <c r="E161" s="15" t="s">
        <v>75</v>
      </c>
      <c r="F161" s="15">
        <v>197</v>
      </c>
      <c r="G161" s="15" t="s">
        <v>8</v>
      </c>
      <c r="H161" s="16"/>
      <c r="I161" s="15" t="s">
        <v>17</v>
      </c>
      <c r="J161" s="15" t="s">
        <v>100</v>
      </c>
      <c r="K161" s="15" t="s">
        <v>18</v>
      </c>
      <c r="L161" s="16"/>
    </row>
    <row r="162" spans="1:12" ht="14.25" customHeight="1" x14ac:dyDescent="0.35">
      <c r="A162" s="15" t="s">
        <v>333</v>
      </c>
      <c r="B162" s="16" t="s">
        <v>334</v>
      </c>
      <c r="C162" s="15" t="s">
        <v>30</v>
      </c>
      <c r="D162" s="15" t="s">
        <v>23</v>
      </c>
      <c r="E162" s="15" t="s">
        <v>75</v>
      </c>
      <c r="F162" s="15">
        <v>198</v>
      </c>
      <c r="G162" s="15" t="s">
        <v>8</v>
      </c>
      <c r="H162" s="16"/>
      <c r="I162" s="15" t="s">
        <v>17</v>
      </c>
      <c r="J162" s="15" t="s">
        <v>100</v>
      </c>
      <c r="K162" s="15" t="s">
        <v>18</v>
      </c>
      <c r="L162" s="16"/>
    </row>
    <row r="163" spans="1:12" ht="14.25" customHeight="1" x14ac:dyDescent="0.35">
      <c r="A163" s="15" t="s">
        <v>335</v>
      </c>
      <c r="B163" s="16" t="s">
        <v>336</v>
      </c>
      <c r="C163" s="15" t="s">
        <v>30</v>
      </c>
      <c r="D163" s="15" t="s">
        <v>23</v>
      </c>
      <c r="E163" s="15" t="s">
        <v>75</v>
      </c>
      <c r="F163" s="15">
        <v>199</v>
      </c>
      <c r="G163" s="15" t="s">
        <v>8</v>
      </c>
      <c r="H163" s="16"/>
      <c r="I163" s="15" t="s">
        <v>17</v>
      </c>
      <c r="J163" s="15" t="s">
        <v>100</v>
      </c>
      <c r="K163" s="15" t="s">
        <v>18</v>
      </c>
      <c r="L163" s="16"/>
    </row>
    <row r="164" spans="1:12" ht="14.25" customHeight="1" x14ac:dyDescent="0.35">
      <c r="A164" s="15" t="s">
        <v>337</v>
      </c>
      <c r="B164" s="16" t="s">
        <v>127</v>
      </c>
      <c r="C164" s="15" t="s">
        <v>30</v>
      </c>
      <c r="D164" s="15" t="s">
        <v>23</v>
      </c>
      <c r="E164" s="15" t="s">
        <v>75</v>
      </c>
      <c r="F164" s="15">
        <v>200</v>
      </c>
      <c r="G164" s="15" t="s">
        <v>8</v>
      </c>
      <c r="H164" s="16"/>
      <c r="I164" s="15" t="s">
        <v>17</v>
      </c>
      <c r="J164" s="15" t="s">
        <v>71</v>
      </c>
      <c r="K164" s="15" t="s">
        <v>19</v>
      </c>
      <c r="L164" s="16"/>
    </row>
    <row r="165" spans="1:12" ht="14.25" customHeight="1" x14ac:dyDescent="0.35">
      <c r="A165" s="15" t="s">
        <v>338</v>
      </c>
      <c r="B165" s="16" t="s">
        <v>129</v>
      </c>
      <c r="C165" s="15" t="s">
        <v>30</v>
      </c>
      <c r="D165" s="15" t="s">
        <v>23</v>
      </c>
      <c r="E165" s="15" t="s">
        <v>75</v>
      </c>
      <c r="F165" s="15">
        <v>201</v>
      </c>
      <c r="G165" s="15" t="s">
        <v>8</v>
      </c>
      <c r="H165" s="16"/>
      <c r="I165" s="15" t="s">
        <v>17</v>
      </c>
      <c r="J165" s="15" t="s">
        <v>71</v>
      </c>
      <c r="K165" s="15" t="s">
        <v>19</v>
      </c>
      <c r="L165" s="16"/>
    </row>
    <row r="166" spans="1:12" ht="14.25" customHeight="1" x14ac:dyDescent="0.35">
      <c r="A166" s="15" t="s">
        <v>339</v>
      </c>
      <c r="B166" s="16" t="s">
        <v>137</v>
      </c>
      <c r="C166" s="15" t="s">
        <v>30</v>
      </c>
      <c r="D166" s="15" t="s">
        <v>23</v>
      </c>
      <c r="E166" s="15" t="s">
        <v>75</v>
      </c>
      <c r="F166" s="15">
        <v>202</v>
      </c>
      <c r="G166" s="15" t="s">
        <v>8</v>
      </c>
      <c r="H166" s="16"/>
      <c r="I166" s="15" t="s">
        <v>17</v>
      </c>
      <c r="J166" s="15" t="s">
        <v>100</v>
      </c>
      <c r="K166" s="15" t="s">
        <v>19</v>
      </c>
      <c r="L166" s="16"/>
    </row>
    <row r="167" spans="1:12" ht="14.25" customHeight="1" x14ac:dyDescent="0.35">
      <c r="A167" s="15" t="s">
        <v>340</v>
      </c>
      <c r="B167" s="16" t="s">
        <v>341</v>
      </c>
      <c r="C167" s="15" t="s">
        <v>30</v>
      </c>
      <c r="D167" s="15" t="s">
        <v>23</v>
      </c>
      <c r="E167" s="15" t="s">
        <v>53</v>
      </c>
      <c r="F167" s="15">
        <v>203</v>
      </c>
      <c r="G167" s="15" t="s">
        <v>8</v>
      </c>
      <c r="H167" s="16"/>
      <c r="I167" s="15" t="s">
        <v>17</v>
      </c>
      <c r="J167" s="15" t="s">
        <v>48</v>
      </c>
      <c r="K167" s="15" t="s">
        <v>19</v>
      </c>
      <c r="L167" s="16"/>
    </row>
    <row r="168" spans="1:12" ht="14.25" customHeight="1" x14ac:dyDescent="0.35">
      <c r="A168" s="15" t="s">
        <v>342</v>
      </c>
      <c r="B168" s="16" t="s">
        <v>343</v>
      </c>
      <c r="C168" s="15" t="s">
        <v>30</v>
      </c>
      <c r="D168" s="15" t="s">
        <v>23</v>
      </c>
      <c r="E168" s="15" t="s">
        <v>53</v>
      </c>
      <c r="F168" s="15">
        <v>204</v>
      </c>
      <c r="G168" s="15" t="s">
        <v>8</v>
      </c>
      <c r="H168" s="16"/>
      <c r="I168" s="15" t="s">
        <v>17</v>
      </c>
      <c r="J168" s="15" t="s">
        <v>48</v>
      </c>
      <c r="K168" s="15" t="s">
        <v>18</v>
      </c>
      <c r="L168" s="16"/>
    </row>
    <row r="169" spans="1:12" ht="14.25" customHeight="1" x14ac:dyDescent="0.35">
      <c r="A169" s="15" t="s">
        <v>344</v>
      </c>
      <c r="B169" s="16" t="s">
        <v>345</v>
      </c>
      <c r="C169" s="15" t="s">
        <v>30</v>
      </c>
      <c r="D169" s="15" t="s">
        <v>23</v>
      </c>
      <c r="E169" s="15" t="s">
        <v>75</v>
      </c>
      <c r="F169" s="15">
        <v>205</v>
      </c>
      <c r="G169" s="15" t="s">
        <v>8</v>
      </c>
      <c r="H169" s="16"/>
      <c r="I169" s="15" t="s">
        <v>17</v>
      </c>
      <c r="J169" s="15" t="s">
        <v>100</v>
      </c>
      <c r="K169" s="15" t="s">
        <v>18</v>
      </c>
      <c r="L169" s="16"/>
    </row>
    <row r="170" spans="1:12" ht="24.75" customHeight="1" x14ac:dyDescent="0.35">
      <c r="A170" s="15" t="s">
        <v>346</v>
      </c>
      <c r="B170" s="16" t="s">
        <v>347</v>
      </c>
      <c r="C170" s="15" t="s">
        <v>30</v>
      </c>
      <c r="D170" s="15" t="s">
        <v>23</v>
      </c>
      <c r="E170" s="15" t="s">
        <v>75</v>
      </c>
      <c r="F170" s="15">
        <v>206</v>
      </c>
      <c r="G170" s="15" t="s">
        <v>8</v>
      </c>
      <c r="H170" s="16" t="s">
        <v>348</v>
      </c>
      <c r="I170" s="15" t="s">
        <v>17</v>
      </c>
      <c r="J170" s="15" t="s">
        <v>100</v>
      </c>
      <c r="K170" s="15" t="s">
        <v>18</v>
      </c>
      <c r="L170" s="16"/>
    </row>
    <row r="171" spans="1:12" ht="14.25" customHeight="1" x14ac:dyDescent="0.35">
      <c r="A171" s="15" t="s">
        <v>349</v>
      </c>
      <c r="B171" s="16" t="s">
        <v>147</v>
      </c>
      <c r="C171" s="15" t="s">
        <v>30</v>
      </c>
      <c r="D171" s="15" t="s">
        <v>23</v>
      </c>
      <c r="E171" s="15" t="s">
        <v>75</v>
      </c>
      <c r="F171" s="15">
        <v>208</v>
      </c>
      <c r="G171" s="15" t="s">
        <v>8</v>
      </c>
      <c r="H171" s="16"/>
      <c r="I171" s="15" t="s">
        <v>17</v>
      </c>
      <c r="J171" s="15" t="s">
        <v>100</v>
      </c>
      <c r="K171" s="15" t="s">
        <v>19</v>
      </c>
      <c r="L171" s="16"/>
    </row>
    <row r="172" spans="1:12" ht="14.25" customHeight="1" x14ac:dyDescent="0.35">
      <c r="A172" s="15" t="s">
        <v>350</v>
      </c>
      <c r="B172" s="16" t="s">
        <v>149</v>
      </c>
      <c r="C172" s="15" t="s">
        <v>30</v>
      </c>
      <c r="D172" s="15" t="s">
        <v>23</v>
      </c>
      <c r="E172" s="15" t="s">
        <v>75</v>
      </c>
      <c r="F172" s="15">
        <v>209</v>
      </c>
      <c r="G172" s="15" t="s">
        <v>8</v>
      </c>
      <c r="H172" s="16"/>
      <c r="I172" s="15" t="s">
        <v>17</v>
      </c>
      <c r="J172" s="15" t="s">
        <v>71</v>
      </c>
      <c r="K172" s="15" t="s">
        <v>19</v>
      </c>
      <c r="L172" s="16"/>
    </row>
    <row r="173" spans="1:12" ht="14.25" customHeight="1" x14ac:dyDescent="0.35">
      <c r="A173" s="15" t="s">
        <v>351</v>
      </c>
      <c r="B173" s="16" t="s">
        <v>55</v>
      </c>
      <c r="C173" s="15" t="s">
        <v>30</v>
      </c>
      <c r="D173" s="15" t="s">
        <v>23</v>
      </c>
      <c r="E173" s="15" t="s">
        <v>53</v>
      </c>
      <c r="F173" s="15">
        <v>210</v>
      </c>
      <c r="G173" s="15" t="s">
        <v>8</v>
      </c>
      <c r="H173" s="16"/>
      <c r="I173" s="15" t="s">
        <v>17</v>
      </c>
      <c r="J173" s="15" t="s">
        <v>48</v>
      </c>
      <c r="K173" s="15" t="s">
        <v>18</v>
      </c>
      <c r="L173" s="16"/>
    </row>
    <row r="174" spans="1:12" ht="14.25" customHeight="1" x14ac:dyDescent="0.35">
      <c r="A174" s="15" t="s">
        <v>352</v>
      </c>
      <c r="B174" s="16" t="s">
        <v>156</v>
      </c>
      <c r="C174" s="15" t="s">
        <v>30</v>
      </c>
      <c r="D174" s="15" t="s">
        <v>23</v>
      </c>
      <c r="E174" s="15" t="s">
        <v>75</v>
      </c>
      <c r="F174" s="15">
        <v>211</v>
      </c>
      <c r="G174" s="15" t="s">
        <v>8</v>
      </c>
      <c r="H174" s="16"/>
      <c r="I174" s="15" t="s">
        <v>17</v>
      </c>
      <c r="J174" s="15" t="s">
        <v>100</v>
      </c>
      <c r="K174" s="15" t="s">
        <v>19</v>
      </c>
      <c r="L174" s="16"/>
    </row>
    <row r="175" spans="1:12" ht="14.25" customHeight="1" x14ac:dyDescent="0.35">
      <c r="A175" s="15" t="s">
        <v>353</v>
      </c>
      <c r="B175" s="16" t="s">
        <v>158</v>
      </c>
      <c r="C175" s="15" t="s">
        <v>30</v>
      </c>
      <c r="D175" s="15" t="s">
        <v>23</v>
      </c>
      <c r="E175" s="15" t="s">
        <v>75</v>
      </c>
      <c r="F175" s="15">
        <v>212</v>
      </c>
      <c r="G175" s="15" t="s">
        <v>8</v>
      </c>
      <c r="H175" s="16"/>
      <c r="I175" s="15" t="s">
        <v>17</v>
      </c>
      <c r="J175" s="15" t="s">
        <v>71</v>
      </c>
      <c r="K175" s="15" t="s">
        <v>19</v>
      </c>
      <c r="L175" s="16"/>
    </row>
    <row r="176" spans="1:12" ht="23.25" customHeight="1" x14ac:dyDescent="0.35">
      <c r="A176" s="15" t="s">
        <v>354</v>
      </c>
      <c r="B176" s="16" t="s">
        <v>88</v>
      </c>
      <c r="C176" s="15" t="s">
        <v>30</v>
      </c>
      <c r="D176" s="15" t="s">
        <v>23</v>
      </c>
      <c r="E176" s="15" t="s">
        <v>75</v>
      </c>
      <c r="F176" s="15">
        <v>213</v>
      </c>
      <c r="G176" s="15" t="s">
        <v>8</v>
      </c>
      <c r="H176" s="16"/>
      <c r="I176" s="15" t="s">
        <v>17</v>
      </c>
      <c r="J176" s="15" t="s">
        <v>71</v>
      </c>
      <c r="K176" s="15" t="s">
        <v>18</v>
      </c>
      <c r="L176" s="16"/>
    </row>
    <row r="177" spans="1:12" ht="14.25" customHeight="1" x14ac:dyDescent="0.35">
      <c r="A177" s="15" t="s">
        <v>355</v>
      </c>
      <c r="B177" s="16" t="s">
        <v>161</v>
      </c>
      <c r="C177" s="15" t="s">
        <v>30</v>
      </c>
      <c r="D177" s="15" t="s">
        <v>23</v>
      </c>
      <c r="E177" s="15" t="s">
        <v>75</v>
      </c>
      <c r="F177" s="15">
        <v>214</v>
      </c>
      <c r="G177" s="15" t="s">
        <v>8</v>
      </c>
      <c r="H177" s="16"/>
      <c r="I177" s="15" t="s">
        <v>17</v>
      </c>
      <c r="J177" s="15" t="s">
        <v>100</v>
      </c>
      <c r="K177" s="15" t="s">
        <v>19</v>
      </c>
      <c r="L177" s="16"/>
    </row>
    <row r="178" spans="1:12" ht="14.25" customHeight="1" x14ac:dyDescent="0.35">
      <c r="A178" s="15" t="s">
        <v>356</v>
      </c>
      <c r="B178" s="16" t="s">
        <v>163</v>
      </c>
      <c r="C178" s="15" t="s">
        <v>30</v>
      </c>
      <c r="D178" s="15" t="s">
        <v>23</v>
      </c>
      <c r="E178" s="15" t="s">
        <v>75</v>
      </c>
      <c r="F178" s="15">
        <v>215</v>
      </c>
      <c r="G178" s="15" t="s">
        <v>8</v>
      </c>
      <c r="H178" s="16"/>
      <c r="I178" s="15" t="s">
        <v>17</v>
      </c>
      <c r="J178" s="15" t="s">
        <v>100</v>
      </c>
      <c r="K178" s="15" t="s">
        <v>19</v>
      </c>
      <c r="L178" s="16"/>
    </row>
    <row r="179" spans="1:12" ht="14.25" customHeight="1" x14ac:dyDescent="0.35">
      <c r="A179" s="15" t="s">
        <v>357</v>
      </c>
      <c r="B179" s="16" t="s">
        <v>165</v>
      </c>
      <c r="C179" s="15" t="s">
        <v>30</v>
      </c>
      <c r="D179" s="15" t="s">
        <v>23</v>
      </c>
      <c r="E179" s="15" t="s">
        <v>75</v>
      </c>
      <c r="F179" s="15">
        <v>216</v>
      </c>
      <c r="G179" s="15" t="s">
        <v>8</v>
      </c>
      <c r="H179" s="16"/>
      <c r="I179" s="15" t="s">
        <v>17</v>
      </c>
      <c r="J179" s="15" t="s">
        <v>71</v>
      </c>
      <c r="K179" s="15" t="s">
        <v>18</v>
      </c>
      <c r="L179" s="16"/>
    </row>
    <row r="180" spans="1:12" ht="14.25" customHeight="1" x14ac:dyDescent="0.35">
      <c r="A180" s="15" t="s">
        <v>358</v>
      </c>
      <c r="B180" s="16" t="s">
        <v>359</v>
      </c>
      <c r="C180" s="15" t="s">
        <v>30</v>
      </c>
      <c r="D180" s="15" t="s">
        <v>23</v>
      </c>
      <c r="E180" s="15" t="s">
        <v>75</v>
      </c>
      <c r="F180" s="15">
        <v>217</v>
      </c>
      <c r="G180" s="15" t="s">
        <v>8</v>
      </c>
      <c r="H180" s="16"/>
      <c r="I180" s="15" t="s">
        <v>17</v>
      </c>
      <c r="J180" s="15" t="s">
        <v>71</v>
      </c>
      <c r="K180" s="15" t="s">
        <v>18</v>
      </c>
      <c r="L180" s="16"/>
    </row>
    <row r="181" spans="1:12" ht="14.25" customHeight="1" x14ac:dyDescent="0.35">
      <c r="A181" s="15" t="s">
        <v>360</v>
      </c>
      <c r="B181" s="16" t="s">
        <v>361</v>
      </c>
      <c r="C181" s="15" t="s">
        <v>30</v>
      </c>
      <c r="D181" s="15" t="s">
        <v>23</v>
      </c>
      <c r="E181" s="15" t="s">
        <v>75</v>
      </c>
      <c r="F181" s="15">
        <v>218</v>
      </c>
      <c r="G181" s="15" t="s">
        <v>8</v>
      </c>
      <c r="H181" s="16"/>
      <c r="I181" s="15" t="s">
        <v>17</v>
      </c>
      <c r="J181" s="15" t="s">
        <v>71</v>
      </c>
      <c r="K181" s="15" t="s">
        <v>18</v>
      </c>
      <c r="L181" s="16"/>
    </row>
    <row r="182" spans="1:12" ht="14.25" customHeight="1" x14ac:dyDescent="0.35">
      <c r="A182" s="15" t="s">
        <v>362</v>
      </c>
      <c r="B182" s="16" t="s">
        <v>363</v>
      </c>
      <c r="C182" s="15" t="s">
        <v>30</v>
      </c>
      <c r="D182" s="15" t="s">
        <v>23</v>
      </c>
      <c r="E182" s="15" t="s">
        <v>75</v>
      </c>
      <c r="F182" s="15">
        <v>219</v>
      </c>
      <c r="G182" s="15" t="s">
        <v>8</v>
      </c>
      <c r="H182" s="16"/>
      <c r="I182" s="15" t="s">
        <v>17</v>
      </c>
      <c r="J182" s="15" t="s">
        <v>100</v>
      </c>
      <c r="K182" s="15" t="s">
        <v>19</v>
      </c>
      <c r="L182" s="16"/>
    </row>
    <row r="183" spans="1:12" ht="14.25" customHeight="1" x14ac:dyDescent="0.35">
      <c r="A183" s="15" t="s">
        <v>364</v>
      </c>
      <c r="B183" s="16" t="s">
        <v>174</v>
      </c>
      <c r="C183" s="15" t="s">
        <v>30</v>
      </c>
      <c r="D183" s="15" t="s">
        <v>23</v>
      </c>
      <c r="E183" s="15" t="s">
        <v>75</v>
      </c>
      <c r="F183" s="15">
        <v>220</v>
      </c>
      <c r="G183" s="15" t="s">
        <v>8</v>
      </c>
      <c r="H183" s="16"/>
      <c r="I183" s="15" t="s">
        <v>17</v>
      </c>
      <c r="J183" s="15" t="s">
        <v>100</v>
      </c>
      <c r="K183" s="15" t="s">
        <v>19</v>
      </c>
      <c r="L183" s="16"/>
    </row>
    <row r="184" spans="1:12" ht="14.25" customHeight="1" x14ac:dyDescent="0.35">
      <c r="A184" s="15" t="s">
        <v>365</v>
      </c>
      <c r="B184" s="16" t="s">
        <v>176</v>
      </c>
      <c r="C184" s="15" t="s">
        <v>30</v>
      </c>
      <c r="D184" s="15" t="s">
        <v>23</v>
      </c>
      <c r="E184" s="15" t="s">
        <v>75</v>
      </c>
      <c r="F184" s="15">
        <v>221</v>
      </c>
      <c r="G184" s="15" t="s">
        <v>8</v>
      </c>
      <c r="H184" s="16"/>
      <c r="I184" s="15" t="s">
        <v>17</v>
      </c>
      <c r="J184" s="15" t="s">
        <v>100</v>
      </c>
      <c r="K184" s="15" t="s">
        <v>19</v>
      </c>
      <c r="L184" s="16"/>
    </row>
    <row r="185" spans="1:12" ht="14.25" customHeight="1" x14ac:dyDescent="0.35">
      <c r="A185" s="15" t="s">
        <v>366</v>
      </c>
      <c r="B185" s="16" t="s">
        <v>178</v>
      </c>
      <c r="C185" s="15" t="s">
        <v>30</v>
      </c>
      <c r="D185" s="15" t="s">
        <v>23</v>
      </c>
      <c r="E185" s="15" t="s">
        <v>75</v>
      </c>
      <c r="F185" s="15">
        <v>222</v>
      </c>
      <c r="G185" s="15" t="s">
        <v>8</v>
      </c>
      <c r="H185" s="16"/>
      <c r="I185" s="15" t="s">
        <v>17</v>
      </c>
      <c r="J185" s="15" t="s">
        <v>100</v>
      </c>
      <c r="K185" s="15" t="s">
        <v>19</v>
      </c>
      <c r="L185" s="16"/>
    </row>
    <row r="186" spans="1:12" ht="14.25" customHeight="1" x14ac:dyDescent="0.35">
      <c r="A186" s="15" t="s">
        <v>367</v>
      </c>
      <c r="B186" s="16" t="s">
        <v>180</v>
      </c>
      <c r="C186" s="15" t="s">
        <v>30</v>
      </c>
      <c r="D186" s="15" t="s">
        <v>23</v>
      </c>
      <c r="E186" s="15" t="s">
        <v>75</v>
      </c>
      <c r="F186" s="15">
        <v>223</v>
      </c>
      <c r="G186" s="15" t="s">
        <v>8</v>
      </c>
      <c r="H186" s="16"/>
      <c r="I186" s="15" t="s">
        <v>17</v>
      </c>
      <c r="J186" s="15" t="s">
        <v>100</v>
      </c>
      <c r="K186" s="15" t="s">
        <v>19</v>
      </c>
      <c r="L186" s="16"/>
    </row>
    <row r="187" spans="1:12" ht="14.25" customHeight="1" x14ac:dyDescent="0.35">
      <c r="A187" s="15" t="s">
        <v>368</v>
      </c>
      <c r="B187" s="16" t="s">
        <v>369</v>
      </c>
      <c r="C187" s="15" t="s">
        <v>30</v>
      </c>
      <c r="D187" s="15" t="s">
        <v>23</v>
      </c>
      <c r="E187" s="15" t="s">
        <v>75</v>
      </c>
      <c r="F187" s="15">
        <v>224</v>
      </c>
      <c r="G187" s="15" t="s">
        <v>8</v>
      </c>
      <c r="H187" s="16"/>
      <c r="I187" s="15" t="s">
        <v>17</v>
      </c>
      <c r="J187" s="15" t="s">
        <v>100</v>
      </c>
      <c r="K187" s="15" t="s">
        <v>19</v>
      </c>
      <c r="L187" s="16"/>
    </row>
    <row r="188" spans="1:12" ht="14.25" customHeight="1" x14ac:dyDescent="0.35">
      <c r="A188" s="15" t="s">
        <v>370</v>
      </c>
      <c r="B188" s="16" t="s">
        <v>184</v>
      </c>
      <c r="C188" s="15" t="s">
        <v>30</v>
      </c>
      <c r="D188" s="15" t="s">
        <v>23</v>
      </c>
      <c r="E188" s="15" t="s">
        <v>75</v>
      </c>
      <c r="F188" s="15">
        <v>225</v>
      </c>
      <c r="G188" s="15" t="s">
        <v>8</v>
      </c>
      <c r="H188" s="16"/>
      <c r="I188" s="15" t="s">
        <v>17</v>
      </c>
      <c r="J188" s="15" t="s">
        <v>100</v>
      </c>
      <c r="K188" s="15" t="s">
        <v>19</v>
      </c>
      <c r="L188" s="16"/>
    </row>
    <row r="189" spans="1:12" ht="14.25" customHeight="1" x14ac:dyDescent="0.35">
      <c r="A189" s="15" t="s">
        <v>371</v>
      </c>
      <c r="B189" s="16" t="s">
        <v>188</v>
      </c>
      <c r="C189" s="15" t="s">
        <v>30</v>
      </c>
      <c r="D189" s="15" t="s">
        <v>23</v>
      </c>
      <c r="E189" s="15" t="s">
        <v>75</v>
      </c>
      <c r="F189" s="15">
        <v>226</v>
      </c>
      <c r="G189" s="15" t="s">
        <v>8</v>
      </c>
      <c r="H189" s="16"/>
      <c r="I189" s="15" t="s">
        <v>17</v>
      </c>
      <c r="J189" s="15" t="s">
        <v>71</v>
      </c>
      <c r="K189" s="15" t="s">
        <v>19</v>
      </c>
      <c r="L189" s="16"/>
    </row>
    <row r="190" spans="1:12" ht="14.25" customHeight="1" x14ac:dyDescent="0.35">
      <c r="A190" s="15" t="s">
        <v>372</v>
      </c>
      <c r="B190" s="16" t="s">
        <v>190</v>
      </c>
      <c r="C190" s="15" t="s">
        <v>30</v>
      </c>
      <c r="D190" s="15" t="s">
        <v>23</v>
      </c>
      <c r="E190" s="15" t="s">
        <v>75</v>
      </c>
      <c r="F190" s="15">
        <v>227</v>
      </c>
      <c r="G190" s="15" t="s">
        <v>8</v>
      </c>
      <c r="H190" s="16" t="s">
        <v>373</v>
      </c>
      <c r="I190" s="15" t="s">
        <v>17</v>
      </c>
      <c r="J190" s="15" t="s">
        <v>100</v>
      </c>
      <c r="K190" s="15" t="s">
        <v>18</v>
      </c>
      <c r="L190" s="16"/>
    </row>
    <row r="191" spans="1:12" ht="14.25" customHeight="1" x14ac:dyDescent="0.35">
      <c r="A191" s="15" t="s">
        <v>374</v>
      </c>
      <c r="B191" s="16" t="s">
        <v>192</v>
      </c>
      <c r="C191" s="15" t="s">
        <v>30</v>
      </c>
      <c r="D191" s="15" t="s">
        <v>23</v>
      </c>
      <c r="E191" s="15" t="s">
        <v>75</v>
      </c>
      <c r="F191" s="15">
        <v>228</v>
      </c>
      <c r="G191" s="15" t="s">
        <v>8</v>
      </c>
      <c r="H191" s="16"/>
      <c r="I191" s="15" t="s">
        <v>17</v>
      </c>
      <c r="J191" s="15" t="s">
        <v>100</v>
      </c>
      <c r="K191" s="15" t="s">
        <v>18</v>
      </c>
      <c r="L191" s="16"/>
    </row>
    <row r="192" spans="1:12" ht="14.25" customHeight="1" x14ac:dyDescent="0.35">
      <c r="A192" s="15" t="s">
        <v>375</v>
      </c>
      <c r="B192" s="16" t="s">
        <v>194</v>
      </c>
      <c r="C192" s="15" t="s">
        <v>30</v>
      </c>
      <c r="D192" s="15" t="s">
        <v>23</v>
      </c>
      <c r="E192" s="15" t="s">
        <v>75</v>
      </c>
      <c r="F192" s="15">
        <v>229</v>
      </c>
      <c r="G192" s="15" t="s">
        <v>8</v>
      </c>
      <c r="H192" s="16"/>
      <c r="I192" s="15" t="s">
        <v>17</v>
      </c>
      <c r="J192" s="15" t="s">
        <v>100</v>
      </c>
      <c r="K192" s="15" t="s">
        <v>18</v>
      </c>
      <c r="L192" s="16"/>
    </row>
    <row r="193" spans="1:12" ht="14.25" customHeight="1" x14ac:dyDescent="0.35">
      <c r="A193" s="15" t="s">
        <v>376</v>
      </c>
      <c r="B193" s="16" t="s">
        <v>200</v>
      </c>
      <c r="C193" s="15" t="s">
        <v>30</v>
      </c>
      <c r="D193" s="15" t="s">
        <v>23</v>
      </c>
      <c r="E193" s="15" t="s">
        <v>75</v>
      </c>
      <c r="F193" s="15">
        <v>230</v>
      </c>
      <c r="G193" s="15" t="s">
        <v>8</v>
      </c>
      <c r="H193" s="16"/>
      <c r="I193" s="15" t="s">
        <v>17</v>
      </c>
      <c r="J193" s="15" t="s">
        <v>71</v>
      </c>
      <c r="K193" s="15" t="s">
        <v>18</v>
      </c>
      <c r="L193" s="16"/>
    </row>
    <row r="194" spans="1:12" ht="14.25" customHeight="1" x14ac:dyDescent="0.35">
      <c r="A194" s="15" t="s">
        <v>377</v>
      </c>
      <c r="B194" s="16" t="s">
        <v>202</v>
      </c>
      <c r="C194" s="15" t="s">
        <v>30</v>
      </c>
      <c r="D194" s="15" t="s">
        <v>23</v>
      </c>
      <c r="E194" s="15" t="s">
        <v>75</v>
      </c>
      <c r="F194" s="15">
        <v>231</v>
      </c>
      <c r="G194" s="15" t="s">
        <v>8</v>
      </c>
      <c r="H194" s="16"/>
      <c r="I194" s="15" t="s">
        <v>17</v>
      </c>
      <c r="J194" s="15" t="s">
        <v>71</v>
      </c>
      <c r="K194" s="15" t="s">
        <v>18</v>
      </c>
      <c r="L194" s="16"/>
    </row>
    <row r="195" spans="1:12" ht="14.25" customHeight="1" x14ac:dyDescent="0.35">
      <c r="A195" s="15" t="s">
        <v>378</v>
      </c>
      <c r="B195" s="16" t="s">
        <v>97</v>
      </c>
      <c r="C195" s="15" t="s">
        <v>30</v>
      </c>
      <c r="D195" s="15" t="s">
        <v>23</v>
      </c>
      <c r="E195" s="15" t="s">
        <v>75</v>
      </c>
      <c r="F195" s="15">
        <v>232</v>
      </c>
      <c r="G195" s="15" t="s">
        <v>8</v>
      </c>
      <c r="H195" s="16"/>
      <c r="I195" s="15" t="s">
        <v>17</v>
      </c>
      <c r="J195" s="15" t="s">
        <v>71</v>
      </c>
      <c r="K195" s="15" t="s">
        <v>18</v>
      </c>
      <c r="L195" s="16"/>
    </row>
    <row r="196" spans="1:12" ht="14.25" customHeight="1" x14ac:dyDescent="0.35">
      <c r="A196" s="15" t="s">
        <v>379</v>
      </c>
      <c r="B196" s="16" t="s">
        <v>99</v>
      </c>
      <c r="C196" s="15" t="s">
        <v>30</v>
      </c>
      <c r="D196" s="15" t="s">
        <v>23</v>
      </c>
      <c r="E196" s="15" t="s">
        <v>75</v>
      </c>
      <c r="F196" s="15">
        <v>233</v>
      </c>
      <c r="G196" s="15" t="s">
        <v>8</v>
      </c>
      <c r="H196" s="16"/>
      <c r="I196" s="15" t="s">
        <v>17</v>
      </c>
      <c r="J196" s="15" t="s">
        <v>100</v>
      </c>
      <c r="K196" s="15" t="s">
        <v>18</v>
      </c>
      <c r="L196" s="16"/>
    </row>
    <row r="197" spans="1:12" ht="14.25" customHeight="1" x14ac:dyDescent="0.35">
      <c r="A197" s="15" t="s">
        <v>380</v>
      </c>
      <c r="B197" s="16" t="s">
        <v>102</v>
      </c>
      <c r="C197" s="15" t="s">
        <v>30</v>
      </c>
      <c r="D197" s="15" t="s">
        <v>23</v>
      </c>
      <c r="E197" s="15" t="s">
        <v>75</v>
      </c>
      <c r="F197" s="15">
        <v>234</v>
      </c>
      <c r="G197" s="15" t="s">
        <v>8</v>
      </c>
      <c r="H197" s="16"/>
      <c r="I197" s="15" t="s">
        <v>17</v>
      </c>
      <c r="J197" s="15" t="s">
        <v>71</v>
      </c>
      <c r="K197" s="15" t="s">
        <v>18</v>
      </c>
      <c r="L197" s="16"/>
    </row>
    <row r="198" spans="1:12" ht="14.25" customHeight="1" x14ac:dyDescent="0.35">
      <c r="A198" s="15" t="s">
        <v>381</v>
      </c>
      <c r="B198" s="16" t="s">
        <v>209</v>
      </c>
      <c r="C198" s="15" t="s">
        <v>30</v>
      </c>
      <c r="D198" s="15" t="s">
        <v>23</v>
      </c>
      <c r="E198" s="15" t="s">
        <v>75</v>
      </c>
      <c r="F198" s="15">
        <v>235</v>
      </c>
      <c r="G198" s="15" t="s">
        <v>8</v>
      </c>
      <c r="H198" s="16"/>
      <c r="I198" s="15" t="s">
        <v>17</v>
      </c>
      <c r="J198" s="15" t="s">
        <v>71</v>
      </c>
      <c r="K198" s="15" t="s">
        <v>18</v>
      </c>
      <c r="L198" s="16"/>
    </row>
    <row r="199" spans="1:12" ht="14.25" customHeight="1" x14ac:dyDescent="0.35">
      <c r="A199" s="15" t="s">
        <v>382</v>
      </c>
      <c r="B199" s="16" t="s">
        <v>105</v>
      </c>
      <c r="C199" s="15" t="s">
        <v>30</v>
      </c>
      <c r="D199" s="15" t="s">
        <v>23</v>
      </c>
      <c r="E199" s="15" t="s">
        <v>75</v>
      </c>
      <c r="F199" s="15">
        <v>236</v>
      </c>
      <c r="G199" s="15" t="s">
        <v>8</v>
      </c>
      <c r="H199" s="16"/>
      <c r="I199" s="15" t="s">
        <v>17</v>
      </c>
      <c r="J199" s="15" t="s">
        <v>100</v>
      </c>
      <c r="K199" s="15" t="s">
        <v>18</v>
      </c>
      <c r="L199" s="16"/>
    </row>
    <row r="200" spans="1:12" ht="14.25" customHeight="1" x14ac:dyDescent="0.35">
      <c r="A200" s="15" t="s">
        <v>383</v>
      </c>
      <c r="B200" s="16" t="s">
        <v>212</v>
      </c>
      <c r="C200" s="15" t="s">
        <v>30</v>
      </c>
      <c r="D200" s="15" t="s">
        <v>23</v>
      </c>
      <c r="E200" s="15" t="s">
        <v>75</v>
      </c>
      <c r="F200" s="15">
        <v>237</v>
      </c>
      <c r="G200" s="15" t="s">
        <v>8</v>
      </c>
      <c r="H200" s="16"/>
      <c r="I200" s="15" t="s">
        <v>17</v>
      </c>
      <c r="J200" s="15" t="s">
        <v>71</v>
      </c>
      <c r="K200" s="15" t="s">
        <v>18</v>
      </c>
      <c r="L200" s="16"/>
    </row>
    <row r="201" spans="1:12" ht="14.25" customHeight="1" x14ac:dyDescent="0.35">
      <c r="A201" s="15" t="s">
        <v>384</v>
      </c>
      <c r="B201" s="16" t="s">
        <v>108</v>
      </c>
      <c r="C201" s="15" t="s">
        <v>30</v>
      </c>
      <c r="D201" s="15" t="s">
        <v>23</v>
      </c>
      <c r="E201" s="15" t="s">
        <v>75</v>
      </c>
      <c r="F201" s="15">
        <v>238</v>
      </c>
      <c r="G201" s="15" t="s">
        <v>8</v>
      </c>
      <c r="H201" s="16"/>
      <c r="I201" s="15" t="s">
        <v>17</v>
      </c>
      <c r="J201" s="15" t="s">
        <v>100</v>
      </c>
      <c r="K201" s="15" t="s">
        <v>18</v>
      </c>
      <c r="L201" s="16"/>
    </row>
    <row r="202" spans="1:12" ht="14.25" customHeight="1" x14ac:dyDescent="0.35">
      <c r="A202" s="15" t="s">
        <v>385</v>
      </c>
      <c r="B202" s="16" t="s">
        <v>314</v>
      </c>
      <c r="C202" s="15" t="s">
        <v>30</v>
      </c>
      <c r="D202" s="15" t="s">
        <v>23</v>
      </c>
      <c r="E202" s="15" t="s">
        <v>75</v>
      </c>
      <c r="F202" s="15">
        <v>239</v>
      </c>
      <c r="G202" s="15" t="s">
        <v>8</v>
      </c>
      <c r="H202" s="16"/>
      <c r="I202" s="15" t="s">
        <v>17</v>
      </c>
      <c r="J202" s="15" t="s">
        <v>71</v>
      </c>
      <c r="K202" s="15" t="s">
        <v>18</v>
      </c>
      <c r="L202" s="16"/>
    </row>
    <row r="203" spans="1:12" ht="14.25" customHeight="1" x14ac:dyDescent="0.35">
      <c r="A203" s="15" t="s">
        <v>386</v>
      </c>
      <c r="B203" s="16" t="s">
        <v>314</v>
      </c>
      <c r="C203" s="15" t="s">
        <v>30</v>
      </c>
      <c r="D203" s="15" t="s">
        <v>23</v>
      </c>
      <c r="E203" s="15" t="s">
        <v>75</v>
      </c>
      <c r="F203" s="15">
        <v>240</v>
      </c>
      <c r="G203" s="15" t="s">
        <v>8</v>
      </c>
      <c r="H203" s="16"/>
      <c r="I203" s="15" t="s">
        <v>17</v>
      </c>
      <c r="J203" s="15" t="s">
        <v>71</v>
      </c>
      <c r="K203" s="15" t="s">
        <v>18</v>
      </c>
      <c r="L203" s="16"/>
    </row>
    <row r="204" spans="1:12" ht="14.25" customHeight="1" x14ac:dyDescent="0.35">
      <c r="A204" s="15" t="s">
        <v>387</v>
      </c>
      <c r="B204" s="16" t="s">
        <v>219</v>
      </c>
      <c r="C204" s="15" t="s">
        <v>30</v>
      </c>
      <c r="D204" s="15" t="s">
        <v>23</v>
      </c>
      <c r="E204" s="15" t="s">
        <v>75</v>
      </c>
      <c r="F204" s="15">
        <v>241</v>
      </c>
      <c r="G204" s="15" t="s">
        <v>8</v>
      </c>
      <c r="H204" s="16"/>
      <c r="I204" s="15" t="s">
        <v>17</v>
      </c>
      <c r="J204" s="15" t="s">
        <v>71</v>
      </c>
      <c r="K204" s="15" t="s">
        <v>18</v>
      </c>
      <c r="L204" s="16"/>
    </row>
    <row r="205" spans="1:12" ht="23.25" customHeight="1" x14ac:dyDescent="0.35">
      <c r="A205" s="15" t="s">
        <v>388</v>
      </c>
      <c r="B205" s="16" t="s">
        <v>221</v>
      </c>
      <c r="C205" s="15" t="s">
        <v>30</v>
      </c>
      <c r="D205" s="15" t="s">
        <v>24</v>
      </c>
      <c r="E205" s="15" t="s">
        <v>53</v>
      </c>
      <c r="F205" s="15">
        <v>242</v>
      </c>
      <c r="G205" s="15" t="s">
        <v>8</v>
      </c>
      <c r="H205" s="16"/>
      <c r="I205" s="15" t="s">
        <v>17</v>
      </c>
      <c r="J205" s="15" t="s">
        <v>48</v>
      </c>
      <c r="K205" s="15" t="s">
        <v>19</v>
      </c>
      <c r="L205" s="16" t="s">
        <v>222</v>
      </c>
    </row>
    <row r="206" spans="1:12" ht="14.25" customHeight="1" x14ac:dyDescent="0.35">
      <c r="A206" s="15" t="s">
        <v>389</v>
      </c>
      <c r="B206" s="16" t="s">
        <v>221</v>
      </c>
      <c r="C206" s="15" t="s">
        <v>30</v>
      </c>
      <c r="D206" s="15" t="s">
        <v>24</v>
      </c>
      <c r="E206" s="15" t="s">
        <v>53</v>
      </c>
      <c r="F206" s="15">
        <v>243</v>
      </c>
      <c r="G206" s="15" t="s">
        <v>8</v>
      </c>
      <c r="H206" s="16"/>
      <c r="I206" s="15" t="s">
        <v>17</v>
      </c>
      <c r="J206" s="15" t="s">
        <v>48</v>
      </c>
      <c r="K206" s="15" t="s">
        <v>19</v>
      </c>
      <c r="L206" s="16"/>
    </row>
    <row r="207" spans="1:12" ht="14.25" customHeight="1" x14ac:dyDescent="0.35">
      <c r="A207" s="15" t="s">
        <v>390</v>
      </c>
      <c r="B207" s="16" t="s">
        <v>391</v>
      </c>
      <c r="C207" s="15" t="s">
        <v>30</v>
      </c>
      <c r="D207" s="15" t="s">
        <v>24</v>
      </c>
      <c r="E207" s="15" t="s">
        <v>75</v>
      </c>
      <c r="F207" s="15">
        <v>244</v>
      </c>
      <c r="G207" s="15" t="s">
        <v>8</v>
      </c>
      <c r="H207" s="16"/>
      <c r="I207" s="15" t="s">
        <v>17</v>
      </c>
      <c r="J207" s="15" t="s">
        <v>100</v>
      </c>
      <c r="K207" s="15" t="s">
        <v>19</v>
      </c>
      <c r="L207" s="16"/>
    </row>
    <row r="208" spans="1:12" ht="14.25" customHeight="1" x14ac:dyDescent="0.35">
      <c r="A208" s="15" t="s">
        <v>392</v>
      </c>
      <c r="B208" s="16" t="s">
        <v>225</v>
      </c>
      <c r="C208" s="15" t="s">
        <v>30</v>
      </c>
      <c r="D208" s="15" t="s">
        <v>24</v>
      </c>
      <c r="E208" s="15" t="s">
        <v>75</v>
      </c>
      <c r="F208" s="15">
        <v>245</v>
      </c>
      <c r="G208" s="15" t="s">
        <v>8</v>
      </c>
      <c r="H208" s="16"/>
      <c r="I208" s="15" t="s">
        <v>17</v>
      </c>
      <c r="J208" s="15" t="s">
        <v>100</v>
      </c>
      <c r="K208" s="15" t="s">
        <v>19</v>
      </c>
      <c r="L208" s="16"/>
    </row>
    <row r="209" spans="1:12" ht="23.25" customHeight="1" x14ac:dyDescent="0.35">
      <c r="A209" s="15" t="s">
        <v>393</v>
      </c>
      <c r="B209" s="16" t="s">
        <v>88</v>
      </c>
      <c r="C209" s="15" t="s">
        <v>30</v>
      </c>
      <c r="D209" s="15" t="s">
        <v>24</v>
      </c>
      <c r="E209" s="15" t="s">
        <v>75</v>
      </c>
      <c r="F209" s="15">
        <v>246</v>
      </c>
      <c r="G209" s="15" t="s">
        <v>8</v>
      </c>
      <c r="H209" s="16"/>
      <c r="I209" s="15" t="s">
        <v>17</v>
      </c>
      <c r="J209" s="15" t="s">
        <v>100</v>
      </c>
      <c r="K209" s="15" t="s">
        <v>18</v>
      </c>
      <c r="L209" s="16"/>
    </row>
    <row r="210" spans="1:12" ht="14.25" customHeight="1" x14ac:dyDescent="0.35">
      <c r="A210" s="15" t="s">
        <v>394</v>
      </c>
      <c r="B210" s="16" t="s">
        <v>227</v>
      </c>
      <c r="C210" s="15" t="s">
        <v>30</v>
      </c>
      <c r="D210" s="15" t="s">
        <v>24</v>
      </c>
      <c r="E210" s="15" t="s">
        <v>75</v>
      </c>
      <c r="F210" s="15">
        <v>247</v>
      </c>
      <c r="G210" s="15" t="s">
        <v>8</v>
      </c>
      <c r="H210" s="16"/>
      <c r="I210" s="15" t="s">
        <v>17</v>
      </c>
      <c r="J210" s="15" t="s">
        <v>100</v>
      </c>
      <c r="K210" s="15" t="s">
        <v>19</v>
      </c>
      <c r="L210" s="16"/>
    </row>
    <row r="211" spans="1:12" ht="14.25" customHeight="1" x14ac:dyDescent="0.35">
      <c r="A211" s="15" t="s">
        <v>395</v>
      </c>
      <c r="B211" s="16" t="s">
        <v>229</v>
      </c>
      <c r="C211" s="15" t="s">
        <v>30</v>
      </c>
      <c r="D211" s="15" t="s">
        <v>24</v>
      </c>
      <c r="E211" s="15" t="s">
        <v>75</v>
      </c>
      <c r="F211" s="15">
        <v>248</v>
      </c>
      <c r="G211" s="15" t="s">
        <v>8</v>
      </c>
      <c r="H211" s="16"/>
      <c r="I211" s="15" t="s">
        <v>17</v>
      </c>
      <c r="J211" s="15" t="s">
        <v>100</v>
      </c>
      <c r="K211" s="15" t="s">
        <v>19</v>
      </c>
      <c r="L211" s="16"/>
    </row>
    <row r="212" spans="1:12" ht="14.25" customHeight="1" x14ac:dyDescent="0.35">
      <c r="A212" s="15" t="s">
        <v>396</v>
      </c>
      <c r="B212" s="16" t="s">
        <v>397</v>
      </c>
      <c r="C212" s="15" t="s">
        <v>30</v>
      </c>
      <c r="D212" s="15" t="s">
        <v>24</v>
      </c>
      <c r="E212" s="15" t="s">
        <v>75</v>
      </c>
      <c r="F212" s="15">
        <v>249</v>
      </c>
      <c r="G212" s="15" t="s">
        <v>8</v>
      </c>
      <c r="H212" s="16"/>
      <c r="I212" s="15" t="s">
        <v>17</v>
      </c>
      <c r="J212" s="15" t="s">
        <v>100</v>
      </c>
      <c r="K212" s="15" t="s">
        <v>19</v>
      </c>
      <c r="L212" s="16"/>
    </row>
    <row r="213" spans="1:12" ht="14.25" customHeight="1" x14ac:dyDescent="0.35">
      <c r="A213" s="15" t="s">
        <v>398</v>
      </c>
      <c r="B213" s="16" t="s">
        <v>399</v>
      </c>
      <c r="C213" s="15" t="s">
        <v>30</v>
      </c>
      <c r="D213" s="15" t="s">
        <v>24</v>
      </c>
      <c r="E213" s="15" t="s">
        <v>75</v>
      </c>
      <c r="F213" s="15">
        <v>250</v>
      </c>
      <c r="G213" s="15" t="s">
        <v>8</v>
      </c>
      <c r="H213" s="16"/>
      <c r="I213" s="15" t="s">
        <v>17</v>
      </c>
      <c r="J213" s="15" t="s">
        <v>100</v>
      </c>
      <c r="K213" s="15" t="s">
        <v>18</v>
      </c>
      <c r="L213" s="16"/>
    </row>
    <row r="214" spans="1:12" ht="14.25" customHeight="1" x14ac:dyDescent="0.35">
      <c r="A214" s="15" t="s">
        <v>400</v>
      </c>
      <c r="B214" s="16" t="s">
        <v>97</v>
      </c>
      <c r="C214" s="15" t="s">
        <v>30</v>
      </c>
      <c r="D214" s="15" t="s">
        <v>24</v>
      </c>
      <c r="E214" s="15" t="s">
        <v>75</v>
      </c>
      <c r="F214" s="15">
        <v>251</v>
      </c>
      <c r="G214" s="15" t="s">
        <v>8</v>
      </c>
      <c r="H214" s="16"/>
      <c r="I214" s="15" t="s">
        <v>17</v>
      </c>
      <c r="J214" s="15" t="s">
        <v>100</v>
      </c>
      <c r="K214" s="15" t="s">
        <v>18</v>
      </c>
      <c r="L214" s="16"/>
    </row>
    <row r="215" spans="1:12" ht="14.25" customHeight="1" x14ac:dyDescent="0.35">
      <c r="A215" s="15" t="s">
        <v>401</v>
      </c>
      <c r="B215" s="16" t="s">
        <v>99</v>
      </c>
      <c r="C215" s="15" t="s">
        <v>30</v>
      </c>
      <c r="D215" s="15" t="s">
        <v>24</v>
      </c>
      <c r="E215" s="15" t="s">
        <v>75</v>
      </c>
      <c r="F215" s="15">
        <v>252</v>
      </c>
      <c r="G215" s="15" t="s">
        <v>8</v>
      </c>
      <c r="H215" s="16"/>
      <c r="I215" s="15" t="s">
        <v>17</v>
      </c>
      <c r="J215" s="15" t="s">
        <v>100</v>
      </c>
      <c r="K215" s="15" t="s">
        <v>18</v>
      </c>
      <c r="L215" s="16"/>
    </row>
    <row r="216" spans="1:12" ht="14.25" customHeight="1" x14ac:dyDescent="0.35">
      <c r="A216" s="15" t="s">
        <v>402</v>
      </c>
      <c r="B216" s="16" t="s">
        <v>102</v>
      </c>
      <c r="C216" s="15" t="s">
        <v>30</v>
      </c>
      <c r="D216" s="15" t="s">
        <v>24</v>
      </c>
      <c r="E216" s="15" t="s">
        <v>75</v>
      </c>
      <c r="F216" s="15">
        <v>253</v>
      </c>
      <c r="G216" s="15" t="s">
        <v>8</v>
      </c>
      <c r="H216" s="16"/>
      <c r="I216" s="15" t="s">
        <v>17</v>
      </c>
      <c r="J216" s="15" t="s">
        <v>100</v>
      </c>
      <c r="K216" s="15" t="s">
        <v>18</v>
      </c>
      <c r="L216" s="16"/>
    </row>
    <row r="217" spans="1:12" ht="14.25" customHeight="1" x14ac:dyDescent="0.35">
      <c r="A217" s="15" t="s">
        <v>403</v>
      </c>
      <c r="B217" s="16" t="s">
        <v>209</v>
      </c>
      <c r="C217" s="15" t="s">
        <v>30</v>
      </c>
      <c r="D217" s="15" t="s">
        <v>24</v>
      </c>
      <c r="E217" s="15" t="s">
        <v>75</v>
      </c>
      <c r="F217" s="15">
        <v>254</v>
      </c>
      <c r="G217" s="15" t="s">
        <v>8</v>
      </c>
      <c r="H217" s="16"/>
      <c r="I217" s="15" t="s">
        <v>17</v>
      </c>
      <c r="J217" s="15" t="s">
        <v>100</v>
      </c>
      <c r="K217" s="15" t="s">
        <v>18</v>
      </c>
      <c r="L217" s="16"/>
    </row>
    <row r="218" spans="1:12" ht="14.25" customHeight="1" x14ac:dyDescent="0.35">
      <c r="A218" s="15" t="s">
        <v>404</v>
      </c>
      <c r="B218" s="16" t="s">
        <v>105</v>
      </c>
      <c r="C218" s="15" t="s">
        <v>30</v>
      </c>
      <c r="D218" s="15" t="s">
        <v>24</v>
      </c>
      <c r="E218" s="15" t="s">
        <v>75</v>
      </c>
      <c r="F218" s="15">
        <v>255</v>
      </c>
      <c r="G218" s="15" t="s">
        <v>8</v>
      </c>
      <c r="H218" s="16"/>
      <c r="I218" s="15" t="s">
        <v>17</v>
      </c>
      <c r="J218" s="15" t="s">
        <v>100</v>
      </c>
      <c r="K218" s="15" t="s">
        <v>18</v>
      </c>
      <c r="L218" s="16"/>
    </row>
    <row r="219" spans="1:12" ht="14.25" customHeight="1" x14ac:dyDescent="0.35">
      <c r="A219" s="15" t="s">
        <v>405</v>
      </c>
      <c r="B219" s="16" t="s">
        <v>212</v>
      </c>
      <c r="C219" s="15" t="s">
        <v>30</v>
      </c>
      <c r="D219" s="15" t="s">
        <v>24</v>
      </c>
      <c r="E219" s="15" t="s">
        <v>75</v>
      </c>
      <c r="F219" s="15">
        <v>256</v>
      </c>
      <c r="G219" s="15" t="s">
        <v>8</v>
      </c>
      <c r="H219" s="16"/>
      <c r="I219" s="15" t="s">
        <v>17</v>
      </c>
      <c r="J219" s="15" t="s">
        <v>100</v>
      </c>
      <c r="K219" s="15" t="s">
        <v>18</v>
      </c>
      <c r="L219" s="16"/>
    </row>
    <row r="220" spans="1:12" ht="14.25" customHeight="1" x14ac:dyDescent="0.35">
      <c r="A220" s="15" t="s">
        <v>406</v>
      </c>
      <c r="B220" s="16" t="s">
        <v>108</v>
      </c>
      <c r="C220" s="15" t="s">
        <v>30</v>
      </c>
      <c r="D220" s="15" t="s">
        <v>24</v>
      </c>
      <c r="E220" s="15" t="s">
        <v>75</v>
      </c>
      <c r="F220" s="15">
        <v>257</v>
      </c>
      <c r="G220" s="15" t="s">
        <v>8</v>
      </c>
      <c r="H220" s="16"/>
      <c r="I220" s="15" t="s">
        <v>17</v>
      </c>
      <c r="J220" s="15" t="s">
        <v>100</v>
      </c>
      <c r="K220" s="15" t="s">
        <v>18</v>
      </c>
      <c r="L220" s="16"/>
    </row>
    <row r="221" spans="1:12" ht="14.25" customHeight="1" x14ac:dyDescent="0.35">
      <c r="A221" s="15" t="s">
        <v>407</v>
      </c>
      <c r="B221" s="16" t="s">
        <v>314</v>
      </c>
      <c r="C221" s="15" t="s">
        <v>30</v>
      </c>
      <c r="D221" s="15" t="s">
        <v>24</v>
      </c>
      <c r="E221" s="15" t="s">
        <v>75</v>
      </c>
      <c r="F221" s="15">
        <v>258</v>
      </c>
      <c r="G221" s="15" t="s">
        <v>8</v>
      </c>
      <c r="H221" s="16"/>
      <c r="I221" s="15" t="s">
        <v>17</v>
      </c>
      <c r="J221" s="15" t="s">
        <v>100</v>
      </c>
      <c r="K221" s="15" t="s">
        <v>18</v>
      </c>
      <c r="L221" s="16"/>
    </row>
    <row r="222" spans="1:12" ht="14.25" customHeight="1" x14ac:dyDescent="0.35">
      <c r="A222" s="15" t="s">
        <v>408</v>
      </c>
      <c r="B222" s="16" t="s">
        <v>317</v>
      </c>
      <c r="C222" s="15" t="s">
        <v>30</v>
      </c>
      <c r="D222" s="15" t="s">
        <v>24</v>
      </c>
      <c r="E222" s="15" t="s">
        <v>75</v>
      </c>
      <c r="F222" s="15">
        <v>259</v>
      </c>
      <c r="G222" s="15" t="s">
        <v>8</v>
      </c>
      <c r="H222" s="16"/>
      <c r="I222" s="15" t="s">
        <v>17</v>
      </c>
      <c r="J222" s="15" t="s">
        <v>100</v>
      </c>
      <c r="K222" s="15" t="s">
        <v>18</v>
      </c>
      <c r="L222" s="16"/>
    </row>
    <row r="223" spans="1:12" ht="14.25" customHeight="1" x14ac:dyDescent="0.35">
      <c r="A223" s="15" t="s">
        <v>409</v>
      </c>
      <c r="B223" s="16" t="s">
        <v>246</v>
      </c>
      <c r="C223" s="15" t="s">
        <v>30</v>
      </c>
      <c r="D223" s="15" t="s">
        <v>25</v>
      </c>
      <c r="E223" s="15" t="s">
        <v>75</v>
      </c>
      <c r="F223" s="15">
        <v>260</v>
      </c>
      <c r="G223" s="15" t="s">
        <v>8</v>
      </c>
      <c r="H223" s="16"/>
      <c r="I223" s="15" t="s">
        <v>17</v>
      </c>
      <c r="J223" s="15" t="s">
        <v>71</v>
      </c>
      <c r="K223" s="15" t="s">
        <v>18</v>
      </c>
      <c r="L223" s="16"/>
    </row>
    <row r="224" spans="1:12" ht="14.25" customHeight="1" x14ac:dyDescent="0.35">
      <c r="A224" s="15" t="s">
        <v>410</v>
      </c>
      <c r="B224" s="16" t="s">
        <v>411</v>
      </c>
      <c r="C224" s="15" t="s">
        <v>30</v>
      </c>
      <c r="D224" s="15" t="s">
        <v>25</v>
      </c>
      <c r="E224" s="15" t="s">
        <v>75</v>
      </c>
      <c r="F224" s="15">
        <v>261</v>
      </c>
      <c r="G224" s="15" t="s">
        <v>8</v>
      </c>
      <c r="H224" s="16"/>
      <c r="I224" s="15" t="s">
        <v>17</v>
      </c>
      <c r="J224" s="15" t="s">
        <v>71</v>
      </c>
      <c r="K224" s="15" t="s">
        <v>18</v>
      </c>
      <c r="L224" s="16"/>
    </row>
    <row r="225" spans="1:12" ht="14.25" customHeight="1" x14ac:dyDescent="0.35">
      <c r="A225" s="15" t="s">
        <v>412</v>
      </c>
      <c r="B225" s="16" t="s">
        <v>249</v>
      </c>
      <c r="C225" s="15" t="s">
        <v>30</v>
      </c>
      <c r="D225" s="15" t="s">
        <v>25</v>
      </c>
      <c r="E225" s="15" t="s">
        <v>75</v>
      </c>
      <c r="F225" s="15">
        <v>262</v>
      </c>
      <c r="G225" s="15" t="s">
        <v>8</v>
      </c>
      <c r="H225" s="16"/>
      <c r="I225" s="15" t="s">
        <v>17</v>
      </c>
      <c r="J225" s="15" t="s">
        <v>71</v>
      </c>
      <c r="K225" s="15" t="s">
        <v>18</v>
      </c>
      <c r="L225" s="16"/>
    </row>
    <row r="226" spans="1:12" ht="14.25" customHeight="1" x14ac:dyDescent="0.35">
      <c r="A226" s="15" t="s">
        <v>413</v>
      </c>
      <c r="B226" s="16" t="s">
        <v>251</v>
      </c>
      <c r="C226" s="15" t="s">
        <v>30</v>
      </c>
      <c r="D226" s="15" t="s">
        <v>25</v>
      </c>
      <c r="E226" s="15" t="s">
        <v>75</v>
      </c>
      <c r="F226" s="15">
        <v>263</v>
      </c>
      <c r="G226" s="15" t="s">
        <v>8</v>
      </c>
      <c r="H226" s="16"/>
      <c r="I226" s="15" t="s">
        <v>17</v>
      </c>
      <c r="J226" s="15" t="s">
        <v>71</v>
      </c>
      <c r="K226" s="15" t="s">
        <v>18</v>
      </c>
      <c r="L226" s="16"/>
    </row>
    <row r="227" spans="1:12" ht="14.25" customHeight="1" x14ac:dyDescent="0.35">
      <c r="A227" s="15" t="s">
        <v>414</v>
      </c>
      <c r="B227" s="16" t="s">
        <v>253</v>
      </c>
      <c r="C227" s="15" t="s">
        <v>30</v>
      </c>
      <c r="D227" s="15" t="s">
        <v>25</v>
      </c>
      <c r="E227" s="15" t="s">
        <v>75</v>
      </c>
      <c r="F227" s="15">
        <v>264</v>
      </c>
      <c r="G227" s="15" t="s">
        <v>8</v>
      </c>
      <c r="H227" s="16"/>
      <c r="I227" s="15" t="s">
        <v>17</v>
      </c>
      <c r="J227" s="15" t="s">
        <v>71</v>
      </c>
      <c r="K227" s="15" t="s">
        <v>18</v>
      </c>
      <c r="L227" s="16"/>
    </row>
    <row r="228" spans="1:12" ht="14.25" customHeight="1" x14ac:dyDescent="0.35">
      <c r="A228" s="15" t="s">
        <v>415</v>
      </c>
      <c r="B228" s="16" t="s">
        <v>255</v>
      </c>
      <c r="C228" s="15" t="s">
        <v>30</v>
      </c>
      <c r="D228" s="15" t="s">
        <v>25</v>
      </c>
      <c r="E228" s="15" t="s">
        <v>75</v>
      </c>
      <c r="F228" s="15">
        <v>265</v>
      </c>
      <c r="G228" s="15" t="s">
        <v>8</v>
      </c>
      <c r="H228" s="16"/>
      <c r="I228" s="15" t="s">
        <v>17</v>
      </c>
      <c r="J228" s="15" t="s">
        <v>71</v>
      </c>
      <c r="K228" s="15" t="s">
        <v>18</v>
      </c>
      <c r="L228" s="16"/>
    </row>
    <row r="229" spans="1:12" ht="14.25" customHeight="1" x14ac:dyDescent="0.35">
      <c r="A229" s="15" t="s">
        <v>416</v>
      </c>
      <c r="B229" s="16" t="s">
        <v>257</v>
      </c>
      <c r="C229" s="15" t="s">
        <v>30</v>
      </c>
      <c r="D229" s="15" t="s">
        <v>25</v>
      </c>
      <c r="E229" s="15" t="s">
        <v>75</v>
      </c>
      <c r="F229" s="15">
        <v>266</v>
      </c>
      <c r="G229" s="15" t="s">
        <v>8</v>
      </c>
      <c r="H229" s="16"/>
      <c r="I229" s="15" t="s">
        <v>16</v>
      </c>
      <c r="J229" s="15" t="s">
        <v>81</v>
      </c>
      <c r="K229" s="15" t="s">
        <v>18</v>
      </c>
      <c r="L229" s="16"/>
    </row>
    <row r="230" spans="1:12" ht="14.25" customHeight="1" x14ac:dyDescent="0.35">
      <c r="A230" s="15" t="s">
        <v>417</v>
      </c>
      <c r="B230" s="16" t="s">
        <v>259</v>
      </c>
      <c r="C230" s="15" t="s">
        <v>30</v>
      </c>
      <c r="D230" s="15" t="s">
        <v>26</v>
      </c>
      <c r="E230" s="15" t="s">
        <v>75</v>
      </c>
      <c r="F230" s="15">
        <v>267</v>
      </c>
      <c r="G230" s="15" t="s">
        <v>8</v>
      </c>
      <c r="H230" s="16"/>
      <c r="I230" s="15" t="s">
        <v>17</v>
      </c>
      <c r="J230" s="15" t="s">
        <v>260</v>
      </c>
      <c r="K230" s="15" t="s">
        <v>18</v>
      </c>
      <c r="L230" s="16"/>
    </row>
    <row r="231" spans="1:12" ht="14.25" customHeight="1" x14ac:dyDescent="0.35">
      <c r="A231" s="15" t="s">
        <v>418</v>
      </c>
      <c r="B231" s="16" t="s">
        <v>262</v>
      </c>
      <c r="C231" s="15" t="s">
        <v>30</v>
      </c>
      <c r="D231" s="15" t="s">
        <v>26</v>
      </c>
      <c r="E231" s="15" t="s">
        <v>75</v>
      </c>
      <c r="F231" s="15">
        <v>268</v>
      </c>
      <c r="G231" s="15" t="s">
        <v>8</v>
      </c>
      <c r="H231" s="16"/>
      <c r="I231" s="15" t="s">
        <v>17</v>
      </c>
      <c r="J231" s="15" t="s">
        <v>260</v>
      </c>
      <c r="K231" s="15" t="s">
        <v>18</v>
      </c>
      <c r="L231" s="16"/>
    </row>
    <row r="232" spans="1:12" ht="14.25" customHeight="1" x14ac:dyDescent="0.35">
      <c r="A232" s="15" t="s">
        <v>419</v>
      </c>
      <c r="B232" s="16" t="s">
        <v>264</v>
      </c>
      <c r="C232" s="15" t="s">
        <v>30</v>
      </c>
      <c r="D232" s="15" t="s">
        <v>26</v>
      </c>
      <c r="E232" s="15" t="s">
        <v>75</v>
      </c>
      <c r="F232" s="15">
        <v>269</v>
      </c>
      <c r="G232" s="15" t="s">
        <v>8</v>
      </c>
      <c r="H232" s="16"/>
      <c r="I232" s="15" t="s">
        <v>17</v>
      </c>
      <c r="J232" s="15" t="s">
        <v>260</v>
      </c>
      <c r="K232" s="15" t="s">
        <v>18</v>
      </c>
      <c r="L232" s="16"/>
    </row>
    <row r="233" spans="1:12" ht="14.25" customHeight="1" x14ac:dyDescent="0.35">
      <c r="A233" s="15" t="s">
        <v>420</v>
      </c>
      <c r="B233" s="16" t="s">
        <v>266</v>
      </c>
      <c r="C233" s="15" t="s">
        <v>30</v>
      </c>
      <c r="D233" s="15" t="s">
        <v>26</v>
      </c>
      <c r="E233" s="15" t="s">
        <v>75</v>
      </c>
      <c r="F233" s="15">
        <v>270</v>
      </c>
      <c r="G233" s="15" t="s">
        <v>8</v>
      </c>
      <c r="H233" s="16"/>
      <c r="I233" s="15" t="s">
        <v>17</v>
      </c>
      <c r="J233" s="15" t="s">
        <v>260</v>
      </c>
      <c r="K233" s="15" t="s">
        <v>18</v>
      </c>
      <c r="L233" s="16"/>
    </row>
    <row r="234" spans="1:12" ht="14.25" customHeight="1" x14ac:dyDescent="0.35">
      <c r="A234" s="15" t="s">
        <v>421</v>
      </c>
      <c r="B234" s="16" t="s">
        <v>268</v>
      </c>
      <c r="C234" s="15" t="s">
        <v>30</v>
      </c>
      <c r="D234" s="15" t="s">
        <v>26</v>
      </c>
      <c r="E234" s="15" t="s">
        <v>75</v>
      </c>
      <c r="F234" s="15">
        <v>271</v>
      </c>
      <c r="G234" s="15" t="s">
        <v>8</v>
      </c>
      <c r="H234" s="16"/>
      <c r="I234" s="15" t="s">
        <v>17</v>
      </c>
      <c r="J234" s="15" t="s">
        <v>260</v>
      </c>
      <c r="K234" s="15" t="s">
        <v>18</v>
      </c>
      <c r="L234" s="16"/>
    </row>
    <row r="235" spans="1:12" ht="14.25" customHeight="1" x14ac:dyDescent="0.35">
      <c r="A235" s="15" t="s">
        <v>422</v>
      </c>
      <c r="B235" s="16" t="s">
        <v>423</v>
      </c>
      <c r="C235" s="15" t="s">
        <v>30</v>
      </c>
      <c r="D235" s="15" t="s">
        <v>27</v>
      </c>
      <c r="E235" s="15" t="s">
        <v>75</v>
      </c>
      <c r="F235" s="15">
        <v>272</v>
      </c>
      <c r="G235" s="15" t="s">
        <v>8</v>
      </c>
      <c r="H235" s="16"/>
      <c r="I235" s="15" t="s">
        <v>17</v>
      </c>
      <c r="J235" s="15" t="s">
        <v>271</v>
      </c>
      <c r="K235" s="15" t="s">
        <v>19</v>
      </c>
      <c r="L235" s="16"/>
    </row>
    <row r="236" spans="1:12" ht="14.25" customHeight="1" x14ac:dyDescent="0.35">
      <c r="A236" s="15" t="s">
        <v>424</v>
      </c>
      <c r="B236" s="16" t="s">
        <v>425</v>
      </c>
      <c r="C236" s="15" t="s">
        <v>30</v>
      </c>
      <c r="D236" s="15" t="s">
        <v>27</v>
      </c>
      <c r="E236" s="15" t="s">
        <v>75</v>
      </c>
      <c r="F236" s="15">
        <v>273</v>
      </c>
      <c r="G236" s="15" t="s">
        <v>8</v>
      </c>
      <c r="H236" s="16"/>
      <c r="I236" s="15" t="s">
        <v>17</v>
      </c>
      <c r="J236" s="15" t="s">
        <v>48</v>
      </c>
      <c r="K236" s="15" t="s">
        <v>18</v>
      </c>
      <c r="L236" s="16"/>
    </row>
    <row r="237" spans="1:12" ht="14.25" customHeight="1" x14ac:dyDescent="0.35">
      <c r="A237" s="15" t="s">
        <v>426</v>
      </c>
      <c r="B237" s="16" t="s">
        <v>427</v>
      </c>
      <c r="C237" s="15" t="s">
        <v>30</v>
      </c>
      <c r="D237" s="15" t="s">
        <v>27</v>
      </c>
      <c r="E237" s="15" t="s">
        <v>75</v>
      </c>
      <c r="F237" s="15">
        <v>274</v>
      </c>
      <c r="G237" s="15" t="s">
        <v>8</v>
      </c>
      <c r="H237" s="16"/>
      <c r="I237" s="15" t="s">
        <v>17</v>
      </c>
      <c r="J237" s="15" t="s">
        <v>48</v>
      </c>
      <c r="K237" s="15" t="s">
        <v>18</v>
      </c>
      <c r="L237" s="16"/>
    </row>
    <row r="238" spans="1:12" ht="14.25" customHeight="1" x14ac:dyDescent="0.35">
      <c r="A238" s="15" t="s">
        <v>428</v>
      </c>
      <c r="B238" s="16" t="s">
        <v>429</v>
      </c>
      <c r="C238" s="15" t="s">
        <v>30</v>
      </c>
      <c r="D238" s="15" t="s">
        <v>27</v>
      </c>
      <c r="E238" s="15" t="s">
        <v>75</v>
      </c>
      <c r="F238" s="15">
        <v>275</v>
      </c>
      <c r="G238" s="15" t="s">
        <v>8</v>
      </c>
      <c r="H238" s="16"/>
      <c r="I238" s="15" t="s">
        <v>17</v>
      </c>
      <c r="J238" s="15" t="s">
        <v>100</v>
      </c>
      <c r="K238" s="15" t="s">
        <v>18</v>
      </c>
      <c r="L238" s="16"/>
    </row>
    <row r="239" spans="1:12" ht="14.25" customHeight="1" x14ac:dyDescent="0.35">
      <c r="A239" s="15" t="s">
        <v>430</v>
      </c>
      <c r="B239" s="16" t="s">
        <v>273</v>
      </c>
      <c r="C239" s="15" t="s">
        <v>30</v>
      </c>
      <c r="D239" s="15" t="s">
        <v>28</v>
      </c>
      <c r="E239" s="15" t="s">
        <v>75</v>
      </c>
      <c r="F239" s="15">
        <v>276</v>
      </c>
      <c r="G239" s="15" t="s">
        <v>8</v>
      </c>
      <c r="H239" s="16"/>
      <c r="I239" s="15" t="s">
        <v>17</v>
      </c>
      <c r="J239" s="15" t="s">
        <v>274</v>
      </c>
      <c r="K239" s="15" t="s">
        <v>19</v>
      </c>
      <c r="L239" s="16"/>
    </row>
    <row r="240" spans="1:12" ht="14.25" customHeight="1" x14ac:dyDescent="0.35">
      <c r="A240" s="15" t="s">
        <v>431</v>
      </c>
      <c r="B240" s="16" t="s">
        <v>55</v>
      </c>
      <c r="C240" s="15" t="s">
        <v>30</v>
      </c>
      <c r="D240" s="15" t="s">
        <v>28</v>
      </c>
      <c r="E240" s="15" t="s">
        <v>53</v>
      </c>
      <c r="F240" s="15">
        <v>277</v>
      </c>
      <c r="G240" s="15" t="s">
        <v>8</v>
      </c>
      <c r="H240" s="16"/>
      <c r="I240" s="15" t="s">
        <v>17</v>
      </c>
      <c r="J240" s="15" t="s">
        <v>274</v>
      </c>
      <c r="K240" s="15" t="s">
        <v>19</v>
      </c>
      <c r="L240" s="16"/>
    </row>
    <row r="241" spans="1:12" ht="14.25" customHeight="1" x14ac:dyDescent="0.35">
      <c r="A241" s="15" t="s">
        <v>432</v>
      </c>
      <c r="B241" s="16" t="s">
        <v>277</v>
      </c>
      <c r="C241" s="15" t="s">
        <v>30</v>
      </c>
      <c r="D241" s="15" t="s">
        <v>28</v>
      </c>
      <c r="E241" s="15" t="s">
        <v>75</v>
      </c>
      <c r="F241" s="15">
        <v>278</v>
      </c>
      <c r="G241" s="15" t="s">
        <v>8</v>
      </c>
      <c r="H241" s="16"/>
      <c r="I241" s="15" t="s">
        <v>17</v>
      </c>
      <c r="J241" s="15" t="s">
        <v>274</v>
      </c>
      <c r="K241" s="15" t="s">
        <v>19</v>
      </c>
      <c r="L241" s="16"/>
    </row>
    <row r="242" spans="1:12" ht="14.25" customHeight="1" x14ac:dyDescent="0.35">
      <c r="A242" s="15" t="s">
        <v>433</v>
      </c>
      <c r="B242" s="16" t="s">
        <v>279</v>
      </c>
      <c r="C242" s="15" t="s">
        <v>30</v>
      </c>
      <c r="D242" s="15" t="s">
        <v>28</v>
      </c>
      <c r="E242" s="15" t="s">
        <v>68</v>
      </c>
      <c r="F242" s="15">
        <v>279</v>
      </c>
      <c r="G242" s="15" t="s">
        <v>8</v>
      </c>
      <c r="H242" s="16"/>
      <c r="I242" s="15" t="s">
        <v>17</v>
      </c>
      <c r="J242" s="15" t="s">
        <v>274</v>
      </c>
      <c r="K242" s="15" t="s">
        <v>19</v>
      </c>
      <c r="L242" s="16"/>
    </row>
    <row r="243" spans="1:12" ht="14.25" customHeight="1" x14ac:dyDescent="0.35">
      <c r="A243" s="15" t="s">
        <v>434</v>
      </c>
      <c r="B243" s="16" t="s">
        <v>281</v>
      </c>
      <c r="C243" s="15" t="s">
        <v>30</v>
      </c>
      <c r="D243" s="15" t="s">
        <v>28</v>
      </c>
      <c r="E243" s="15" t="s">
        <v>75</v>
      </c>
      <c r="F243" s="15">
        <v>280</v>
      </c>
      <c r="G243" s="15" t="s">
        <v>8</v>
      </c>
      <c r="H243" s="16"/>
      <c r="I243" s="15" t="s">
        <v>17</v>
      </c>
      <c r="J243" s="15" t="s">
        <v>274</v>
      </c>
      <c r="K243" s="15" t="s">
        <v>19</v>
      </c>
      <c r="L243" s="16"/>
    </row>
    <row r="244" spans="1:12" ht="14.25" customHeight="1" x14ac:dyDescent="0.35">
      <c r="A244" s="15" t="s">
        <v>435</v>
      </c>
      <c r="B244" s="16" t="s">
        <v>285</v>
      </c>
      <c r="C244" s="15" t="s">
        <v>31</v>
      </c>
      <c r="D244" s="15" t="s">
        <v>22</v>
      </c>
      <c r="E244" s="15" t="s">
        <v>436</v>
      </c>
      <c r="F244" s="15">
        <v>343</v>
      </c>
      <c r="G244" s="15" t="s">
        <v>8</v>
      </c>
      <c r="H244" s="16"/>
      <c r="I244" s="15" t="s">
        <v>17</v>
      </c>
      <c r="J244" s="15" t="s">
        <v>48</v>
      </c>
      <c r="K244" s="15" t="s">
        <v>18</v>
      </c>
      <c r="L244" s="16"/>
    </row>
    <row r="245" spans="1:12" ht="14.25" customHeight="1" x14ac:dyDescent="0.35">
      <c r="A245" s="15" t="s">
        <v>437</v>
      </c>
      <c r="B245" s="16" t="s">
        <v>55</v>
      </c>
      <c r="C245" s="15" t="s">
        <v>31</v>
      </c>
      <c r="D245" s="15" t="s">
        <v>22</v>
      </c>
      <c r="E245" s="15" t="s">
        <v>53</v>
      </c>
      <c r="F245" s="15">
        <v>344</v>
      </c>
      <c r="G245" s="15" t="s">
        <v>8</v>
      </c>
      <c r="H245" s="16"/>
      <c r="I245" s="15" t="s">
        <v>17</v>
      </c>
      <c r="J245" s="15" t="s">
        <v>48</v>
      </c>
      <c r="K245" s="15" t="s">
        <v>19</v>
      </c>
      <c r="L245" s="16"/>
    </row>
    <row r="246" spans="1:12" ht="14.25" customHeight="1" x14ac:dyDescent="0.35">
      <c r="A246" s="15" t="s">
        <v>438</v>
      </c>
      <c r="B246" s="16" t="s">
        <v>291</v>
      </c>
      <c r="C246" s="15" t="s">
        <v>31</v>
      </c>
      <c r="D246" s="15" t="s">
        <v>22</v>
      </c>
      <c r="E246" s="15" t="s">
        <v>53</v>
      </c>
      <c r="F246" s="15">
        <v>345</v>
      </c>
      <c r="G246" s="15" t="s">
        <v>8</v>
      </c>
      <c r="H246" s="16"/>
      <c r="I246" s="15" t="s">
        <v>17</v>
      </c>
      <c r="J246" s="15" t="s">
        <v>48</v>
      </c>
      <c r="K246" s="15" t="s">
        <v>19</v>
      </c>
      <c r="L246" s="16"/>
    </row>
    <row r="247" spans="1:12" ht="14.25" customHeight="1" x14ac:dyDescent="0.35">
      <c r="A247" s="15" t="s">
        <v>439</v>
      </c>
      <c r="B247" s="16" t="s">
        <v>305</v>
      </c>
      <c r="C247" s="15" t="s">
        <v>31</v>
      </c>
      <c r="D247" s="15" t="s">
        <v>22</v>
      </c>
      <c r="E247" s="15" t="s">
        <v>75</v>
      </c>
      <c r="F247" s="15">
        <v>346</v>
      </c>
      <c r="G247" s="15" t="s">
        <v>8</v>
      </c>
      <c r="H247" s="16"/>
      <c r="I247" s="15" t="s">
        <v>17</v>
      </c>
      <c r="J247" s="15" t="s">
        <v>71</v>
      </c>
      <c r="K247" s="15" t="s">
        <v>19</v>
      </c>
      <c r="L247" s="16"/>
    </row>
    <row r="248" spans="1:12" ht="14.25" customHeight="1" x14ac:dyDescent="0.35">
      <c r="A248" s="15" t="s">
        <v>440</v>
      </c>
      <c r="B248" s="16" t="s">
        <v>86</v>
      </c>
      <c r="C248" s="15" t="s">
        <v>31</v>
      </c>
      <c r="D248" s="15" t="s">
        <v>22</v>
      </c>
      <c r="E248" s="15" t="s">
        <v>75</v>
      </c>
      <c r="F248" s="15">
        <v>347</v>
      </c>
      <c r="G248" s="15" t="s">
        <v>8</v>
      </c>
      <c r="H248" s="16"/>
      <c r="I248" s="15" t="s">
        <v>17</v>
      </c>
      <c r="J248" s="15" t="s">
        <v>71</v>
      </c>
      <c r="K248" s="15" t="s">
        <v>18</v>
      </c>
      <c r="L248" s="16"/>
    </row>
    <row r="249" spans="1:12" ht="14.25" customHeight="1" x14ac:dyDescent="0.35">
      <c r="A249" s="15" t="s">
        <v>441</v>
      </c>
      <c r="B249" s="16" t="s">
        <v>442</v>
      </c>
      <c r="C249" s="15" t="s">
        <v>31</v>
      </c>
      <c r="D249" s="15" t="s">
        <v>22</v>
      </c>
      <c r="E249" s="15" t="s">
        <v>75</v>
      </c>
      <c r="F249" s="15">
        <v>348</v>
      </c>
      <c r="G249" s="15" t="s">
        <v>8</v>
      </c>
      <c r="H249" s="16"/>
      <c r="I249" s="15" t="s">
        <v>17</v>
      </c>
      <c r="J249" s="15" t="s">
        <v>71</v>
      </c>
      <c r="K249" s="15" t="s">
        <v>18</v>
      </c>
      <c r="L249" s="16"/>
    </row>
    <row r="250" spans="1:12" ht="14.25" customHeight="1" x14ac:dyDescent="0.35">
      <c r="A250" s="15" t="s">
        <v>443</v>
      </c>
      <c r="B250" s="16" t="s">
        <v>167</v>
      </c>
      <c r="C250" s="15" t="s">
        <v>31</v>
      </c>
      <c r="D250" s="15" t="s">
        <v>22</v>
      </c>
      <c r="E250" s="15" t="s">
        <v>75</v>
      </c>
      <c r="F250" s="15">
        <v>349</v>
      </c>
      <c r="G250" s="15" t="s">
        <v>8</v>
      </c>
      <c r="H250" s="16"/>
      <c r="I250" s="15" t="s">
        <v>17</v>
      </c>
      <c r="J250" s="15" t="s">
        <v>71</v>
      </c>
      <c r="K250" s="15" t="s">
        <v>18</v>
      </c>
      <c r="L250" s="16"/>
    </row>
    <row r="251" spans="1:12" ht="14.25" customHeight="1" x14ac:dyDescent="0.35">
      <c r="A251" s="15" t="s">
        <v>444</v>
      </c>
      <c r="B251" s="16" t="s">
        <v>445</v>
      </c>
      <c r="C251" s="15" t="s">
        <v>31</v>
      </c>
      <c r="D251" s="15" t="s">
        <v>22</v>
      </c>
      <c r="E251" s="15" t="s">
        <v>75</v>
      </c>
      <c r="F251" s="15">
        <v>350</v>
      </c>
      <c r="G251" s="15" t="s">
        <v>8</v>
      </c>
      <c r="H251" s="16"/>
      <c r="I251" s="15" t="s">
        <v>17</v>
      </c>
      <c r="J251" s="15" t="s">
        <v>71</v>
      </c>
      <c r="K251" s="15" t="s">
        <v>18</v>
      </c>
      <c r="L251" s="16"/>
    </row>
    <row r="252" spans="1:12" ht="14.25" customHeight="1" x14ac:dyDescent="0.35">
      <c r="A252" s="15" t="s">
        <v>446</v>
      </c>
      <c r="B252" s="16" t="s">
        <v>97</v>
      </c>
      <c r="C252" s="15" t="s">
        <v>31</v>
      </c>
      <c r="D252" s="15" t="s">
        <v>22</v>
      </c>
      <c r="E252" s="15" t="s">
        <v>75</v>
      </c>
      <c r="F252" s="15">
        <v>351</v>
      </c>
      <c r="G252" s="15" t="s">
        <v>8</v>
      </c>
      <c r="H252" s="16"/>
      <c r="I252" s="15" t="s">
        <v>17</v>
      </c>
      <c r="J252" s="15" t="s">
        <v>71</v>
      </c>
      <c r="K252" s="15" t="s">
        <v>18</v>
      </c>
      <c r="L252" s="16"/>
    </row>
    <row r="253" spans="1:12" ht="14.25" customHeight="1" x14ac:dyDescent="0.35">
      <c r="A253" s="15" t="s">
        <v>447</v>
      </c>
      <c r="B253" s="16" t="s">
        <v>99</v>
      </c>
      <c r="C253" s="15" t="s">
        <v>31</v>
      </c>
      <c r="D253" s="15" t="s">
        <v>22</v>
      </c>
      <c r="E253" s="15" t="s">
        <v>75</v>
      </c>
      <c r="F253" s="15">
        <v>352</v>
      </c>
      <c r="G253" s="15" t="s">
        <v>8</v>
      </c>
      <c r="H253" s="16"/>
      <c r="I253" s="15" t="s">
        <v>17</v>
      </c>
      <c r="J253" s="15" t="s">
        <v>100</v>
      </c>
      <c r="K253" s="15" t="s">
        <v>18</v>
      </c>
      <c r="L253" s="16"/>
    </row>
    <row r="254" spans="1:12" ht="14.25" customHeight="1" x14ac:dyDescent="0.35">
      <c r="A254" s="15" t="s">
        <v>448</v>
      </c>
      <c r="B254" s="16" t="s">
        <v>102</v>
      </c>
      <c r="C254" s="15" t="s">
        <v>31</v>
      </c>
      <c r="D254" s="15" t="s">
        <v>22</v>
      </c>
      <c r="E254" s="15" t="s">
        <v>75</v>
      </c>
      <c r="F254" s="15">
        <v>353</v>
      </c>
      <c r="G254" s="15" t="s">
        <v>8</v>
      </c>
      <c r="H254" s="16"/>
      <c r="I254" s="15" t="s">
        <v>17</v>
      </c>
      <c r="J254" s="15" t="s">
        <v>71</v>
      </c>
      <c r="K254" s="15" t="s">
        <v>18</v>
      </c>
      <c r="L254" s="16"/>
    </row>
    <row r="255" spans="1:12" ht="14.25" customHeight="1" x14ac:dyDescent="0.35">
      <c r="A255" s="15" t="s">
        <v>449</v>
      </c>
      <c r="B255" s="16" t="s">
        <v>209</v>
      </c>
      <c r="C255" s="15" t="s">
        <v>31</v>
      </c>
      <c r="D255" s="15" t="s">
        <v>22</v>
      </c>
      <c r="E255" s="15" t="s">
        <v>75</v>
      </c>
      <c r="F255" s="15">
        <v>354</v>
      </c>
      <c r="G255" s="15" t="s">
        <v>8</v>
      </c>
      <c r="H255" s="16"/>
      <c r="I255" s="15" t="s">
        <v>17</v>
      </c>
      <c r="J255" s="15" t="s">
        <v>71</v>
      </c>
      <c r="K255" s="15" t="s">
        <v>18</v>
      </c>
      <c r="L255" s="16"/>
    </row>
    <row r="256" spans="1:12" ht="14.25" customHeight="1" x14ac:dyDescent="0.35">
      <c r="A256" s="15" t="s">
        <v>450</v>
      </c>
      <c r="B256" s="16" t="s">
        <v>105</v>
      </c>
      <c r="C256" s="15" t="s">
        <v>31</v>
      </c>
      <c r="D256" s="15" t="s">
        <v>22</v>
      </c>
      <c r="E256" s="15" t="s">
        <v>75</v>
      </c>
      <c r="F256" s="15">
        <v>355</v>
      </c>
      <c r="G256" s="15" t="s">
        <v>8</v>
      </c>
      <c r="H256" s="16"/>
      <c r="I256" s="15" t="s">
        <v>17</v>
      </c>
      <c r="J256" s="15" t="s">
        <v>100</v>
      </c>
      <c r="K256" s="15" t="s">
        <v>19</v>
      </c>
      <c r="L256" s="16"/>
    </row>
    <row r="257" spans="1:12" ht="14.25" customHeight="1" x14ac:dyDescent="0.35">
      <c r="A257" s="15" t="s">
        <v>451</v>
      </c>
      <c r="B257" s="16" t="s">
        <v>212</v>
      </c>
      <c r="C257" s="15" t="s">
        <v>31</v>
      </c>
      <c r="D257" s="15" t="s">
        <v>22</v>
      </c>
      <c r="E257" s="15" t="s">
        <v>75</v>
      </c>
      <c r="F257" s="15">
        <v>356</v>
      </c>
      <c r="G257" s="15" t="s">
        <v>8</v>
      </c>
      <c r="H257" s="16"/>
      <c r="I257" s="15" t="s">
        <v>17</v>
      </c>
      <c r="J257" s="15" t="s">
        <v>71</v>
      </c>
      <c r="K257" s="15" t="s">
        <v>18</v>
      </c>
      <c r="L257" s="16"/>
    </row>
    <row r="258" spans="1:12" ht="14.25" customHeight="1" x14ac:dyDescent="0.35">
      <c r="A258" s="15" t="s">
        <v>452</v>
      </c>
      <c r="B258" s="16" t="s">
        <v>108</v>
      </c>
      <c r="C258" s="15" t="s">
        <v>31</v>
      </c>
      <c r="D258" s="15" t="s">
        <v>22</v>
      </c>
      <c r="E258" s="15" t="s">
        <v>75</v>
      </c>
      <c r="F258" s="15">
        <v>357</v>
      </c>
      <c r="G258" s="15" t="s">
        <v>8</v>
      </c>
      <c r="H258" s="16"/>
      <c r="I258" s="15" t="s">
        <v>17</v>
      </c>
      <c r="J258" s="15" t="s">
        <v>100</v>
      </c>
      <c r="K258" s="15" t="s">
        <v>18</v>
      </c>
      <c r="L258" s="16"/>
    </row>
    <row r="259" spans="1:12" ht="14.25" customHeight="1" x14ac:dyDescent="0.35">
      <c r="A259" s="15" t="s">
        <v>453</v>
      </c>
      <c r="B259" s="16" t="s">
        <v>215</v>
      </c>
      <c r="C259" s="15" t="s">
        <v>31</v>
      </c>
      <c r="D259" s="15" t="s">
        <v>22</v>
      </c>
      <c r="E259" s="15" t="s">
        <v>75</v>
      </c>
      <c r="F259" s="15">
        <v>358</v>
      </c>
      <c r="G259" s="15" t="s">
        <v>8</v>
      </c>
      <c r="H259" s="16"/>
      <c r="I259" s="15" t="s">
        <v>17</v>
      </c>
      <c r="J259" s="15" t="s">
        <v>71</v>
      </c>
      <c r="K259" s="15" t="s">
        <v>18</v>
      </c>
      <c r="L259" s="16"/>
    </row>
    <row r="260" spans="1:12" ht="14.25" customHeight="1" x14ac:dyDescent="0.35">
      <c r="A260" s="15" t="s">
        <v>454</v>
      </c>
      <c r="B260" s="16" t="s">
        <v>317</v>
      </c>
      <c r="C260" s="15" t="s">
        <v>31</v>
      </c>
      <c r="D260" s="15" t="s">
        <v>22</v>
      </c>
      <c r="E260" s="15" t="s">
        <v>75</v>
      </c>
      <c r="F260" s="15">
        <v>359</v>
      </c>
      <c r="G260" s="15" t="s">
        <v>8</v>
      </c>
      <c r="H260" s="16"/>
      <c r="I260" s="15" t="s">
        <v>17</v>
      </c>
      <c r="J260" s="15" t="s">
        <v>71</v>
      </c>
      <c r="K260" s="15" t="s">
        <v>18</v>
      </c>
      <c r="L260" s="16"/>
    </row>
    <row r="261" spans="1:12" ht="14.25" customHeight="1" x14ac:dyDescent="0.35">
      <c r="A261" s="15" t="s">
        <v>455</v>
      </c>
      <c r="B261" s="16" t="s">
        <v>326</v>
      </c>
      <c r="C261" s="15" t="s">
        <v>31</v>
      </c>
      <c r="D261" s="15" t="s">
        <v>22</v>
      </c>
      <c r="E261" s="15" t="s">
        <v>75</v>
      </c>
      <c r="F261" s="15">
        <v>360</v>
      </c>
      <c r="G261" s="15" t="s">
        <v>8</v>
      </c>
      <c r="H261" s="16"/>
      <c r="I261" s="15" t="s">
        <v>17</v>
      </c>
      <c r="J261" s="15" t="s">
        <v>71</v>
      </c>
      <c r="K261" s="15" t="s">
        <v>18</v>
      </c>
      <c r="L261" s="16"/>
    </row>
    <row r="262" spans="1:12" ht="14.25" customHeight="1" x14ac:dyDescent="0.35">
      <c r="A262" s="15" t="s">
        <v>456</v>
      </c>
      <c r="B262" s="16" t="s">
        <v>219</v>
      </c>
      <c r="C262" s="15" t="s">
        <v>31</v>
      </c>
      <c r="D262" s="15" t="s">
        <v>22</v>
      </c>
      <c r="E262" s="15" t="s">
        <v>75</v>
      </c>
      <c r="F262" s="15">
        <v>361</v>
      </c>
      <c r="G262" s="15" t="s">
        <v>8</v>
      </c>
      <c r="H262" s="16"/>
      <c r="I262" s="15" t="s">
        <v>17</v>
      </c>
      <c r="J262" s="15" t="s">
        <v>71</v>
      </c>
      <c r="K262" s="15" t="s">
        <v>18</v>
      </c>
      <c r="L262" s="16"/>
    </row>
    <row r="263" spans="1:12" ht="14.25" customHeight="1" x14ac:dyDescent="0.35">
      <c r="A263" s="15" t="s">
        <v>457</v>
      </c>
      <c r="B263" s="16" t="s">
        <v>127</v>
      </c>
      <c r="C263" s="15" t="s">
        <v>31</v>
      </c>
      <c r="D263" s="15" t="s">
        <v>23</v>
      </c>
      <c r="E263" s="15" t="s">
        <v>75</v>
      </c>
      <c r="F263" s="15">
        <v>316</v>
      </c>
      <c r="G263" s="15" t="s">
        <v>8</v>
      </c>
      <c r="H263" s="16"/>
      <c r="I263" s="15" t="s">
        <v>17</v>
      </c>
      <c r="J263" s="15" t="s">
        <v>71</v>
      </c>
      <c r="K263" s="15" t="s">
        <v>18</v>
      </c>
      <c r="L263" s="16"/>
    </row>
    <row r="264" spans="1:12" ht="14.25" customHeight="1" x14ac:dyDescent="0.35">
      <c r="A264" s="15" t="s">
        <v>458</v>
      </c>
      <c r="B264" s="16" t="s">
        <v>129</v>
      </c>
      <c r="C264" s="15" t="s">
        <v>31</v>
      </c>
      <c r="D264" s="15" t="s">
        <v>23</v>
      </c>
      <c r="E264" s="15" t="s">
        <v>75</v>
      </c>
      <c r="F264" s="15">
        <v>317</v>
      </c>
      <c r="G264" s="15" t="s">
        <v>8</v>
      </c>
      <c r="H264" s="16"/>
      <c r="I264" s="15" t="s">
        <v>17</v>
      </c>
      <c r="J264" s="15" t="s">
        <v>71</v>
      </c>
      <c r="K264" s="15" t="s">
        <v>18</v>
      </c>
      <c r="L264" s="16"/>
    </row>
    <row r="265" spans="1:12" ht="14.25" customHeight="1" x14ac:dyDescent="0.35">
      <c r="A265" s="15" t="s">
        <v>459</v>
      </c>
      <c r="B265" s="16" t="s">
        <v>133</v>
      </c>
      <c r="C265" s="15" t="s">
        <v>31</v>
      </c>
      <c r="D265" s="15" t="s">
        <v>23</v>
      </c>
      <c r="E265" s="15" t="s">
        <v>460</v>
      </c>
      <c r="F265" s="15">
        <v>318</v>
      </c>
      <c r="G265" s="15" t="s">
        <v>8</v>
      </c>
      <c r="H265" s="16"/>
      <c r="I265" s="15" t="s">
        <v>17</v>
      </c>
      <c r="J265" s="15" t="s">
        <v>100</v>
      </c>
      <c r="K265" s="15" t="s">
        <v>18</v>
      </c>
      <c r="L265" s="16"/>
    </row>
    <row r="266" spans="1:12" ht="14.25" customHeight="1" x14ac:dyDescent="0.35">
      <c r="A266" s="15" t="s">
        <v>461</v>
      </c>
      <c r="B266" s="16" t="s">
        <v>137</v>
      </c>
      <c r="C266" s="15" t="s">
        <v>31</v>
      </c>
      <c r="D266" s="15" t="s">
        <v>23</v>
      </c>
      <c r="E266" s="15" t="s">
        <v>75</v>
      </c>
      <c r="F266" s="15">
        <v>319</v>
      </c>
      <c r="G266" s="15" t="s">
        <v>8</v>
      </c>
      <c r="H266" s="16"/>
      <c r="I266" s="15" t="s">
        <v>17</v>
      </c>
      <c r="J266" s="15" t="s">
        <v>100</v>
      </c>
      <c r="K266" s="15" t="s">
        <v>19</v>
      </c>
      <c r="L266" s="16"/>
    </row>
    <row r="267" spans="1:12" ht="14.25" customHeight="1" x14ac:dyDescent="0.35">
      <c r="A267" s="15" t="s">
        <v>462</v>
      </c>
      <c r="B267" s="16" t="s">
        <v>139</v>
      </c>
      <c r="C267" s="15" t="s">
        <v>31</v>
      </c>
      <c r="D267" s="15" t="s">
        <v>23</v>
      </c>
      <c r="E267" s="15" t="s">
        <v>53</v>
      </c>
      <c r="F267" s="15">
        <v>320</v>
      </c>
      <c r="G267" s="15" t="s">
        <v>8</v>
      </c>
      <c r="H267" s="16"/>
      <c r="I267" s="15" t="s">
        <v>17</v>
      </c>
      <c r="J267" s="15" t="s">
        <v>48</v>
      </c>
      <c r="K267" s="15" t="s">
        <v>19</v>
      </c>
      <c r="L267" s="16"/>
    </row>
    <row r="268" spans="1:12" ht="14.25" customHeight="1" x14ac:dyDescent="0.35">
      <c r="A268" s="15" t="s">
        <v>463</v>
      </c>
      <c r="B268" s="16" t="s">
        <v>147</v>
      </c>
      <c r="C268" s="15" t="s">
        <v>31</v>
      </c>
      <c r="D268" s="15" t="s">
        <v>23</v>
      </c>
      <c r="E268" s="15" t="s">
        <v>75</v>
      </c>
      <c r="F268" s="15">
        <v>321</v>
      </c>
      <c r="G268" s="15" t="s">
        <v>8</v>
      </c>
      <c r="H268" s="16"/>
      <c r="I268" s="15" t="s">
        <v>17</v>
      </c>
      <c r="J268" s="15" t="s">
        <v>100</v>
      </c>
      <c r="K268" s="15" t="s">
        <v>19</v>
      </c>
      <c r="L268" s="16"/>
    </row>
    <row r="269" spans="1:12" ht="14.25" customHeight="1" x14ac:dyDescent="0.35">
      <c r="A269" s="15" t="s">
        <v>464</v>
      </c>
      <c r="B269" s="16" t="s">
        <v>149</v>
      </c>
      <c r="C269" s="15" t="s">
        <v>31</v>
      </c>
      <c r="D269" s="15" t="s">
        <v>23</v>
      </c>
      <c r="E269" s="15" t="s">
        <v>75</v>
      </c>
      <c r="F269" s="15">
        <v>322</v>
      </c>
      <c r="G269" s="15" t="s">
        <v>8</v>
      </c>
      <c r="H269" s="16"/>
      <c r="I269" s="15" t="s">
        <v>17</v>
      </c>
      <c r="J269" s="15" t="s">
        <v>71</v>
      </c>
      <c r="K269" s="15" t="s">
        <v>19</v>
      </c>
      <c r="L269" s="16"/>
    </row>
    <row r="270" spans="1:12" ht="14.25" customHeight="1" x14ac:dyDescent="0.35">
      <c r="A270" s="15" t="s">
        <v>465</v>
      </c>
      <c r="B270" s="16" t="s">
        <v>55</v>
      </c>
      <c r="C270" s="15" t="s">
        <v>31</v>
      </c>
      <c r="D270" s="15" t="s">
        <v>23</v>
      </c>
      <c r="E270" s="15" t="s">
        <v>53</v>
      </c>
      <c r="F270" s="15">
        <v>323</v>
      </c>
      <c r="G270" s="15" t="s">
        <v>8</v>
      </c>
      <c r="H270" s="16"/>
      <c r="I270" s="15" t="s">
        <v>17</v>
      </c>
      <c r="J270" s="15" t="s">
        <v>48</v>
      </c>
      <c r="K270" s="15" t="s">
        <v>19</v>
      </c>
      <c r="L270" s="16"/>
    </row>
    <row r="271" spans="1:12" ht="14.25" customHeight="1" x14ac:dyDescent="0.35">
      <c r="A271" s="15" t="s">
        <v>466</v>
      </c>
      <c r="B271" s="16" t="s">
        <v>156</v>
      </c>
      <c r="C271" s="15" t="s">
        <v>31</v>
      </c>
      <c r="D271" s="15" t="s">
        <v>23</v>
      </c>
      <c r="E271" s="15" t="s">
        <v>75</v>
      </c>
      <c r="F271" s="15">
        <v>324</v>
      </c>
      <c r="G271" s="15" t="s">
        <v>8</v>
      </c>
      <c r="H271" s="16"/>
      <c r="I271" s="15" t="s">
        <v>17</v>
      </c>
      <c r="J271" s="15" t="s">
        <v>71</v>
      </c>
      <c r="K271" s="15" t="s">
        <v>19</v>
      </c>
      <c r="L271" s="16"/>
    </row>
    <row r="272" spans="1:12" ht="14.25" customHeight="1" x14ac:dyDescent="0.35">
      <c r="A272" s="15" t="s">
        <v>467</v>
      </c>
      <c r="B272" s="16" t="s">
        <v>158</v>
      </c>
      <c r="C272" s="15" t="s">
        <v>31</v>
      </c>
      <c r="D272" s="15" t="s">
        <v>23</v>
      </c>
      <c r="E272" s="15" t="s">
        <v>75</v>
      </c>
      <c r="F272" s="15">
        <v>325</v>
      </c>
      <c r="G272" s="15" t="s">
        <v>8</v>
      </c>
      <c r="H272" s="16"/>
      <c r="I272" s="15" t="s">
        <v>17</v>
      </c>
      <c r="J272" s="15" t="s">
        <v>71</v>
      </c>
      <c r="K272" s="15" t="s">
        <v>19</v>
      </c>
      <c r="L272" s="16"/>
    </row>
    <row r="273" spans="1:12" ht="14.25" customHeight="1" x14ac:dyDescent="0.35">
      <c r="A273" s="15" t="s">
        <v>468</v>
      </c>
      <c r="B273" s="16" t="s">
        <v>86</v>
      </c>
      <c r="C273" s="15" t="s">
        <v>31</v>
      </c>
      <c r="D273" s="15" t="s">
        <v>23</v>
      </c>
      <c r="E273" s="15" t="s">
        <v>75</v>
      </c>
      <c r="F273" s="15">
        <v>326</v>
      </c>
      <c r="G273" s="15" t="s">
        <v>8</v>
      </c>
      <c r="H273" s="16"/>
      <c r="I273" s="15" t="s">
        <v>17</v>
      </c>
      <c r="J273" s="15" t="s">
        <v>71</v>
      </c>
      <c r="K273" s="15" t="s">
        <v>18</v>
      </c>
      <c r="L273" s="16"/>
    </row>
    <row r="274" spans="1:12" ht="23.25" customHeight="1" x14ac:dyDescent="0.35">
      <c r="A274" s="15" t="s">
        <v>469</v>
      </c>
      <c r="B274" s="16" t="s">
        <v>88</v>
      </c>
      <c r="C274" s="15" t="s">
        <v>31</v>
      </c>
      <c r="D274" s="15" t="s">
        <v>23</v>
      </c>
      <c r="E274" s="15" t="s">
        <v>75</v>
      </c>
      <c r="F274" s="15">
        <v>327</v>
      </c>
      <c r="G274" s="15" t="s">
        <v>8</v>
      </c>
      <c r="H274" s="16"/>
      <c r="I274" s="15" t="s">
        <v>17</v>
      </c>
      <c r="J274" s="15" t="s">
        <v>71</v>
      </c>
      <c r="K274" s="15" t="s">
        <v>18</v>
      </c>
      <c r="L274" s="16"/>
    </row>
    <row r="275" spans="1:12" ht="14.25" customHeight="1" x14ac:dyDescent="0.35">
      <c r="A275" s="15" t="s">
        <v>470</v>
      </c>
      <c r="B275" s="16" t="s">
        <v>165</v>
      </c>
      <c r="C275" s="15" t="s">
        <v>31</v>
      </c>
      <c r="D275" s="15" t="s">
        <v>23</v>
      </c>
      <c r="E275" s="15" t="s">
        <v>75</v>
      </c>
      <c r="F275" s="15">
        <v>328</v>
      </c>
      <c r="G275" s="15" t="s">
        <v>8</v>
      </c>
      <c r="H275" s="16"/>
      <c r="I275" s="15" t="s">
        <v>17</v>
      </c>
      <c r="J275" s="15" t="s">
        <v>71</v>
      </c>
      <c r="K275" s="15" t="s">
        <v>19</v>
      </c>
      <c r="L275" s="16"/>
    </row>
    <row r="276" spans="1:12" ht="14.25" customHeight="1" x14ac:dyDescent="0.35">
      <c r="A276" s="15" t="s">
        <v>471</v>
      </c>
      <c r="B276" s="16" t="s">
        <v>188</v>
      </c>
      <c r="C276" s="15" t="s">
        <v>31</v>
      </c>
      <c r="D276" s="15" t="s">
        <v>23</v>
      </c>
      <c r="E276" s="15" t="s">
        <v>75</v>
      </c>
      <c r="F276" s="15">
        <v>329</v>
      </c>
      <c r="G276" s="15" t="s">
        <v>8</v>
      </c>
      <c r="H276" s="16"/>
      <c r="I276" s="15" t="s">
        <v>17</v>
      </c>
      <c r="J276" s="15" t="s">
        <v>71</v>
      </c>
      <c r="K276" s="15" t="s">
        <v>19</v>
      </c>
      <c r="L276" s="16"/>
    </row>
    <row r="277" spans="1:12" ht="14.25" customHeight="1" x14ac:dyDescent="0.35">
      <c r="A277" s="15" t="s">
        <v>472</v>
      </c>
      <c r="B277" s="16" t="s">
        <v>190</v>
      </c>
      <c r="C277" s="15" t="s">
        <v>31</v>
      </c>
      <c r="D277" s="15" t="s">
        <v>23</v>
      </c>
      <c r="E277" s="15" t="s">
        <v>75</v>
      </c>
      <c r="F277" s="15">
        <v>330</v>
      </c>
      <c r="G277" s="15" t="s">
        <v>8</v>
      </c>
      <c r="H277" s="16" t="s">
        <v>373</v>
      </c>
      <c r="I277" s="15" t="s">
        <v>17</v>
      </c>
      <c r="J277" s="15" t="s">
        <v>100</v>
      </c>
      <c r="K277" s="15" t="s">
        <v>18</v>
      </c>
      <c r="L277" s="16"/>
    </row>
    <row r="278" spans="1:12" ht="14.25" customHeight="1" x14ac:dyDescent="0.35">
      <c r="A278" s="15" t="s">
        <v>473</v>
      </c>
      <c r="B278" s="16" t="s">
        <v>192</v>
      </c>
      <c r="C278" s="15" t="s">
        <v>31</v>
      </c>
      <c r="D278" s="15" t="s">
        <v>23</v>
      </c>
      <c r="E278" s="15" t="s">
        <v>75</v>
      </c>
      <c r="F278" s="15">
        <v>331</v>
      </c>
      <c r="G278" s="15" t="s">
        <v>8</v>
      </c>
      <c r="H278" s="16"/>
      <c r="I278" s="15" t="s">
        <v>17</v>
      </c>
      <c r="J278" s="15" t="s">
        <v>100</v>
      </c>
      <c r="K278" s="15" t="s">
        <v>18</v>
      </c>
      <c r="L278" s="16"/>
    </row>
    <row r="279" spans="1:12" ht="14.25" customHeight="1" x14ac:dyDescent="0.35">
      <c r="A279" s="15" t="s">
        <v>474</v>
      </c>
      <c r="B279" s="16" t="s">
        <v>194</v>
      </c>
      <c r="C279" s="15" t="s">
        <v>31</v>
      </c>
      <c r="D279" s="15" t="s">
        <v>23</v>
      </c>
      <c r="E279" s="15" t="s">
        <v>75</v>
      </c>
      <c r="F279" s="15">
        <v>332</v>
      </c>
      <c r="G279" s="15" t="s">
        <v>8</v>
      </c>
      <c r="H279" s="16"/>
      <c r="I279" s="15" t="s">
        <v>17</v>
      </c>
      <c r="J279" s="15" t="s">
        <v>100</v>
      </c>
      <c r="K279" s="15" t="s">
        <v>18</v>
      </c>
      <c r="L279" s="16"/>
    </row>
    <row r="280" spans="1:12" ht="14.25" customHeight="1" x14ac:dyDescent="0.35">
      <c r="A280" s="15" t="s">
        <v>475</v>
      </c>
      <c r="B280" s="16" t="s">
        <v>200</v>
      </c>
      <c r="C280" s="15" t="s">
        <v>31</v>
      </c>
      <c r="D280" s="15" t="s">
        <v>23</v>
      </c>
      <c r="E280" s="15" t="s">
        <v>75</v>
      </c>
      <c r="F280" s="15">
        <v>333</v>
      </c>
      <c r="G280" s="15" t="s">
        <v>8</v>
      </c>
      <c r="H280" s="16"/>
      <c r="I280" s="15" t="s">
        <v>17</v>
      </c>
      <c r="J280" s="15" t="s">
        <v>71</v>
      </c>
      <c r="K280" s="15" t="s">
        <v>19</v>
      </c>
      <c r="L280" s="16"/>
    </row>
    <row r="281" spans="1:12" ht="14.25" customHeight="1" x14ac:dyDescent="0.35">
      <c r="A281" s="15" t="s">
        <v>476</v>
      </c>
      <c r="B281" s="16" t="s">
        <v>202</v>
      </c>
      <c r="C281" s="15" t="s">
        <v>31</v>
      </c>
      <c r="D281" s="15" t="s">
        <v>23</v>
      </c>
      <c r="E281" s="15" t="s">
        <v>75</v>
      </c>
      <c r="F281" s="15">
        <v>334</v>
      </c>
      <c r="G281" s="15" t="s">
        <v>8</v>
      </c>
      <c r="H281" s="16"/>
      <c r="I281" s="15" t="s">
        <v>17</v>
      </c>
      <c r="J281" s="15" t="s">
        <v>71</v>
      </c>
      <c r="K281" s="15" t="s">
        <v>18</v>
      </c>
      <c r="L281" s="16"/>
    </row>
    <row r="282" spans="1:12" ht="14.25" customHeight="1" x14ac:dyDescent="0.35">
      <c r="A282" s="15" t="s">
        <v>477</v>
      </c>
      <c r="B282" s="16" t="s">
        <v>97</v>
      </c>
      <c r="C282" s="15" t="s">
        <v>31</v>
      </c>
      <c r="D282" s="15" t="s">
        <v>23</v>
      </c>
      <c r="E282" s="15" t="s">
        <v>75</v>
      </c>
      <c r="F282" s="15">
        <v>335</v>
      </c>
      <c r="G282" s="15" t="s">
        <v>8</v>
      </c>
      <c r="H282" s="16"/>
      <c r="I282" s="15" t="s">
        <v>17</v>
      </c>
      <c r="J282" s="15" t="s">
        <v>71</v>
      </c>
      <c r="K282" s="15" t="s">
        <v>18</v>
      </c>
      <c r="L282" s="16"/>
    </row>
    <row r="283" spans="1:12" ht="14.25" customHeight="1" x14ac:dyDescent="0.35">
      <c r="A283" s="15" t="s">
        <v>478</v>
      </c>
      <c r="B283" s="16" t="s">
        <v>99</v>
      </c>
      <c r="C283" s="15" t="s">
        <v>31</v>
      </c>
      <c r="D283" s="15" t="s">
        <v>23</v>
      </c>
      <c r="E283" s="15" t="s">
        <v>75</v>
      </c>
      <c r="F283" s="15">
        <v>336</v>
      </c>
      <c r="G283" s="15" t="s">
        <v>8</v>
      </c>
      <c r="H283" s="16"/>
      <c r="I283" s="15" t="s">
        <v>17</v>
      </c>
      <c r="J283" s="15" t="s">
        <v>100</v>
      </c>
      <c r="K283" s="15" t="s">
        <v>18</v>
      </c>
      <c r="L283" s="16"/>
    </row>
    <row r="284" spans="1:12" ht="14.25" customHeight="1" x14ac:dyDescent="0.35">
      <c r="A284" s="15" t="s">
        <v>479</v>
      </c>
      <c r="B284" s="16" t="s">
        <v>102</v>
      </c>
      <c r="C284" s="15" t="s">
        <v>31</v>
      </c>
      <c r="D284" s="15" t="s">
        <v>23</v>
      </c>
      <c r="E284" s="15" t="s">
        <v>75</v>
      </c>
      <c r="F284" s="15">
        <v>337</v>
      </c>
      <c r="G284" s="15" t="s">
        <v>8</v>
      </c>
      <c r="H284" s="16"/>
      <c r="I284" s="15" t="s">
        <v>17</v>
      </c>
      <c r="J284" s="15" t="s">
        <v>71</v>
      </c>
      <c r="K284" s="15" t="s">
        <v>18</v>
      </c>
      <c r="L284" s="16"/>
    </row>
    <row r="285" spans="1:12" ht="14.25" customHeight="1" x14ac:dyDescent="0.35">
      <c r="A285" s="15" t="s">
        <v>480</v>
      </c>
      <c r="B285" s="16" t="s">
        <v>209</v>
      </c>
      <c r="C285" s="15" t="s">
        <v>31</v>
      </c>
      <c r="D285" s="15" t="s">
        <v>23</v>
      </c>
      <c r="E285" s="15" t="s">
        <v>75</v>
      </c>
      <c r="F285" s="15">
        <v>338</v>
      </c>
      <c r="G285" s="15" t="s">
        <v>8</v>
      </c>
      <c r="H285" s="16"/>
      <c r="I285" s="15" t="s">
        <v>17</v>
      </c>
      <c r="J285" s="15" t="s">
        <v>71</v>
      </c>
      <c r="K285" s="15" t="s">
        <v>18</v>
      </c>
      <c r="L285" s="16"/>
    </row>
    <row r="286" spans="1:12" ht="14.25" customHeight="1" x14ac:dyDescent="0.35">
      <c r="A286" s="15" t="s">
        <v>481</v>
      </c>
      <c r="B286" s="16" t="s">
        <v>105</v>
      </c>
      <c r="C286" s="15" t="s">
        <v>31</v>
      </c>
      <c r="D286" s="15" t="s">
        <v>23</v>
      </c>
      <c r="E286" s="15" t="s">
        <v>75</v>
      </c>
      <c r="F286" s="15">
        <v>339</v>
      </c>
      <c r="G286" s="15" t="s">
        <v>8</v>
      </c>
      <c r="H286" s="16"/>
      <c r="I286" s="15" t="s">
        <v>17</v>
      </c>
      <c r="J286" s="15" t="s">
        <v>100</v>
      </c>
      <c r="K286" s="15" t="s">
        <v>18</v>
      </c>
      <c r="L286" s="16"/>
    </row>
    <row r="287" spans="1:12" ht="14.25" customHeight="1" x14ac:dyDescent="0.35">
      <c r="A287" s="15" t="s">
        <v>482</v>
      </c>
      <c r="B287" s="16" t="s">
        <v>212</v>
      </c>
      <c r="C287" s="15" t="s">
        <v>31</v>
      </c>
      <c r="D287" s="15" t="s">
        <v>23</v>
      </c>
      <c r="E287" s="15" t="s">
        <v>75</v>
      </c>
      <c r="F287" s="15">
        <v>340</v>
      </c>
      <c r="G287" s="15" t="s">
        <v>8</v>
      </c>
      <c r="H287" s="16"/>
      <c r="I287" s="15" t="s">
        <v>17</v>
      </c>
      <c r="J287" s="15" t="s">
        <v>71</v>
      </c>
      <c r="K287" s="15" t="s">
        <v>18</v>
      </c>
      <c r="L287" s="16"/>
    </row>
    <row r="288" spans="1:12" ht="14.25" customHeight="1" x14ac:dyDescent="0.35">
      <c r="A288" s="15" t="s">
        <v>483</v>
      </c>
      <c r="B288" s="16" t="s">
        <v>108</v>
      </c>
      <c r="C288" s="15" t="s">
        <v>31</v>
      </c>
      <c r="D288" s="15" t="s">
        <v>23</v>
      </c>
      <c r="E288" s="15" t="s">
        <v>75</v>
      </c>
      <c r="F288" s="15">
        <v>341</v>
      </c>
      <c r="G288" s="15" t="s">
        <v>8</v>
      </c>
      <c r="H288" s="16"/>
      <c r="I288" s="15" t="s">
        <v>17</v>
      </c>
      <c r="J288" s="15" t="s">
        <v>100</v>
      </c>
      <c r="K288" s="15" t="s">
        <v>18</v>
      </c>
      <c r="L288" s="16"/>
    </row>
    <row r="289" spans="1:12" ht="14.25" customHeight="1" x14ac:dyDescent="0.35">
      <c r="A289" s="15" t="s">
        <v>484</v>
      </c>
      <c r="B289" s="16" t="s">
        <v>215</v>
      </c>
      <c r="C289" s="15" t="s">
        <v>31</v>
      </c>
      <c r="D289" s="15" t="s">
        <v>23</v>
      </c>
      <c r="E289" s="15" t="s">
        <v>75</v>
      </c>
      <c r="F289" s="15">
        <v>342</v>
      </c>
      <c r="G289" s="15" t="s">
        <v>8</v>
      </c>
      <c r="H289" s="16"/>
      <c r="I289" s="15" t="s">
        <v>17</v>
      </c>
      <c r="J289" s="15" t="s">
        <v>71</v>
      </c>
      <c r="K289" s="15" t="s">
        <v>18</v>
      </c>
      <c r="L289" s="16"/>
    </row>
    <row r="290" spans="1:12" ht="23.25" customHeight="1" x14ac:dyDescent="0.35">
      <c r="A290" s="15" t="s">
        <v>485</v>
      </c>
      <c r="B290" s="16" t="s">
        <v>221</v>
      </c>
      <c r="C290" s="15" t="s">
        <v>31</v>
      </c>
      <c r="D290" s="15" t="s">
        <v>24</v>
      </c>
      <c r="E290" s="15" t="s">
        <v>53</v>
      </c>
      <c r="F290" s="15">
        <v>362</v>
      </c>
      <c r="G290" s="15" t="s">
        <v>8</v>
      </c>
      <c r="H290" s="16"/>
      <c r="I290" s="15" t="s">
        <v>17</v>
      </c>
      <c r="J290" s="15" t="s">
        <v>48</v>
      </c>
      <c r="K290" s="15" t="s">
        <v>19</v>
      </c>
      <c r="L290" s="16" t="s">
        <v>222</v>
      </c>
    </row>
    <row r="291" spans="1:12" ht="23.25" customHeight="1" x14ac:dyDescent="0.35">
      <c r="A291" s="15" t="s">
        <v>486</v>
      </c>
      <c r="B291" s="16" t="s">
        <v>55</v>
      </c>
      <c r="C291" s="15" t="s">
        <v>31</v>
      </c>
      <c r="D291" s="15" t="s">
        <v>24</v>
      </c>
      <c r="E291" s="15" t="s">
        <v>53</v>
      </c>
      <c r="F291" s="15">
        <v>363</v>
      </c>
      <c r="G291" s="15" t="s">
        <v>8</v>
      </c>
      <c r="H291" s="16"/>
      <c r="I291" s="15" t="s">
        <v>17</v>
      </c>
      <c r="J291" s="15" t="s">
        <v>48</v>
      </c>
      <c r="K291" s="15" t="s">
        <v>19</v>
      </c>
      <c r="L291" s="16" t="s">
        <v>222</v>
      </c>
    </row>
    <row r="292" spans="1:12" ht="14.25" customHeight="1" x14ac:dyDescent="0.35">
      <c r="A292" s="15" t="s">
        <v>487</v>
      </c>
      <c r="B292" s="16" t="s">
        <v>391</v>
      </c>
      <c r="C292" s="15" t="s">
        <v>31</v>
      </c>
      <c r="D292" s="15" t="s">
        <v>24</v>
      </c>
      <c r="E292" s="15" t="s">
        <v>75</v>
      </c>
      <c r="F292" s="15">
        <v>364</v>
      </c>
      <c r="G292" s="15" t="s">
        <v>8</v>
      </c>
      <c r="H292" s="16"/>
      <c r="I292" s="15" t="s">
        <v>17</v>
      </c>
      <c r="J292" s="15" t="s">
        <v>100</v>
      </c>
      <c r="K292" s="15" t="s">
        <v>19</v>
      </c>
      <c r="L292" s="16"/>
    </row>
    <row r="293" spans="1:12" ht="14.25" customHeight="1" x14ac:dyDescent="0.35">
      <c r="A293" s="15" t="s">
        <v>488</v>
      </c>
      <c r="B293" s="16" t="s">
        <v>225</v>
      </c>
      <c r="C293" s="15" t="s">
        <v>31</v>
      </c>
      <c r="D293" s="15" t="s">
        <v>24</v>
      </c>
      <c r="E293" s="15" t="s">
        <v>75</v>
      </c>
      <c r="F293" s="15">
        <v>365</v>
      </c>
      <c r="G293" s="15" t="s">
        <v>8</v>
      </c>
      <c r="H293" s="16"/>
      <c r="I293" s="15" t="s">
        <v>17</v>
      </c>
      <c r="J293" s="15" t="s">
        <v>100</v>
      </c>
      <c r="K293" s="15" t="s">
        <v>19</v>
      </c>
      <c r="L293" s="16"/>
    </row>
    <row r="294" spans="1:12" ht="23.25" customHeight="1" x14ac:dyDescent="0.35">
      <c r="A294" s="15" t="s">
        <v>489</v>
      </c>
      <c r="B294" s="16" t="s">
        <v>88</v>
      </c>
      <c r="C294" s="15" t="s">
        <v>31</v>
      </c>
      <c r="D294" s="15" t="s">
        <v>24</v>
      </c>
      <c r="E294" s="15" t="s">
        <v>75</v>
      </c>
      <c r="F294" s="15">
        <v>366</v>
      </c>
      <c r="G294" s="15" t="s">
        <v>8</v>
      </c>
      <c r="H294" s="16"/>
      <c r="I294" s="15" t="s">
        <v>17</v>
      </c>
      <c r="J294" s="15" t="s">
        <v>100</v>
      </c>
      <c r="K294" s="15" t="s">
        <v>18</v>
      </c>
      <c r="L294" s="16"/>
    </row>
    <row r="295" spans="1:12" ht="14.25" customHeight="1" x14ac:dyDescent="0.35">
      <c r="A295" s="15" t="s">
        <v>490</v>
      </c>
      <c r="B295" s="16" t="s">
        <v>491</v>
      </c>
      <c r="C295" s="15" t="s">
        <v>31</v>
      </c>
      <c r="D295" s="15" t="s">
        <v>24</v>
      </c>
      <c r="E295" s="15" t="s">
        <v>75</v>
      </c>
      <c r="F295" s="15">
        <v>367</v>
      </c>
      <c r="G295" s="15" t="s">
        <v>8</v>
      </c>
      <c r="H295" s="16"/>
      <c r="I295" s="15" t="s">
        <v>17</v>
      </c>
      <c r="J295" s="15" t="s">
        <v>100</v>
      </c>
      <c r="K295" s="15" t="s">
        <v>19</v>
      </c>
      <c r="L295" s="16"/>
    </row>
    <row r="296" spans="1:12" ht="14.25" customHeight="1" x14ac:dyDescent="0.35">
      <c r="A296" s="15" t="s">
        <v>492</v>
      </c>
      <c r="B296" s="16" t="s">
        <v>167</v>
      </c>
      <c r="C296" s="15" t="s">
        <v>31</v>
      </c>
      <c r="D296" s="15" t="s">
        <v>24</v>
      </c>
      <c r="E296" s="15" t="s">
        <v>75</v>
      </c>
      <c r="F296" s="15">
        <v>368</v>
      </c>
      <c r="G296" s="15" t="s">
        <v>8</v>
      </c>
      <c r="H296" s="16"/>
      <c r="I296" s="15" t="s">
        <v>17</v>
      </c>
      <c r="J296" s="15" t="s">
        <v>100</v>
      </c>
      <c r="K296" s="15" t="s">
        <v>18</v>
      </c>
      <c r="L296" s="16"/>
    </row>
    <row r="297" spans="1:12" ht="14.25" customHeight="1" x14ac:dyDescent="0.35">
      <c r="A297" s="15" t="s">
        <v>493</v>
      </c>
      <c r="B297" s="16" t="s">
        <v>97</v>
      </c>
      <c r="C297" s="15" t="s">
        <v>31</v>
      </c>
      <c r="D297" s="15" t="s">
        <v>24</v>
      </c>
      <c r="E297" s="15" t="s">
        <v>75</v>
      </c>
      <c r="F297" s="15">
        <v>369</v>
      </c>
      <c r="G297" s="15" t="s">
        <v>8</v>
      </c>
      <c r="H297" s="16"/>
      <c r="I297" s="15" t="s">
        <v>17</v>
      </c>
      <c r="J297" s="15" t="s">
        <v>100</v>
      </c>
      <c r="K297" s="15" t="s">
        <v>18</v>
      </c>
      <c r="L297" s="16"/>
    </row>
    <row r="298" spans="1:12" ht="14.25" customHeight="1" x14ac:dyDescent="0.35">
      <c r="A298" s="15" t="s">
        <v>494</v>
      </c>
      <c r="B298" s="16" t="s">
        <v>97</v>
      </c>
      <c r="C298" s="15" t="s">
        <v>31</v>
      </c>
      <c r="D298" s="15" t="s">
        <v>24</v>
      </c>
      <c r="E298" s="15" t="s">
        <v>75</v>
      </c>
      <c r="F298" s="15">
        <v>370</v>
      </c>
      <c r="G298" s="15" t="s">
        <v>8</v>
      </c>
      <c r="H298" s="16"/>
      <c r="I298" s="15" t="s">
        <v>17</v>
      </c>
      <c r="J298" s="15" t="s">
        <v>100</v>
      </c>
      <c r="K298" s="15" t="s">
        <v>18</v>
      </c>
      <c r="L298" s="16"/>
    </row>
    <row r="299" spans="1:12" ht="14.25" customHeight="1" x14ac:dyDescent="0.35">
      <c r="A299" s="15" t="s">
        <v>495</v>
      </c>
      <c r="B299" s="16" t="s">
        <v>102</v>
      </c>
      <c r="C299" s="15" t="s">
        <v>31</v>
      </c>
      <c r="D299" s="15" t="s">
        <v>24</v>
      </c>
      <c r="E299" s="15" t="s">
        <v>75</v>
      </c>
      <c r="F299" s="15">
        <v>371</v>
      </c>
      <c r="G299" s="15" t="s">
        <v>8</v>
      </c>
      <c r="H299" s="16"/>
      <c r="I299" s="15" t="s">
        <v>17</v>
      </c>
      <c r="J299" s="15" t="s">
        <v>100</v>
      </c>
      <c r="K299" s="15" t="s">
        <v>18</v>
      </c>
      <c r="L299" s="16"/>
    </row>
    <row r="300" spans="1:12" ht="14.25" customHeight="1" x14ac:dyDescent="0.35">
      <c r="A300" s="15" t="s">
        <v>496</v>
      </c>
      <c r="B300" s="16" t="s">
        <v>105</v>
      </c>
      <c r="C300" s="15" t="s">
        <v>31</v>
      </c>
      <c r="D300" s="15" t="s">
        <v>24</v>
      </c>
      <c r="E300" s="15" t="s">
        <v>75</v>
      </c>
      <c r="F300" s="15">
        <v>372</v>
      </c>
      <c r="G300" s="15" t="s">
        <v>8</v>
      </c>
      <c r="H300" s="16"/>
      <c r="I300" s="15" t="s">
        <v>17</v>
      </c>
      <c r="J300" s="15" t="s">
        <v>100</v>
      </c>
      <c r="K300" s="15" t="s">
        <v>18</v>
      </c>
      <c r="L300" s="16"/>
    </row>
    <row r="301" spans="1:12" ht="14.25" customHeight="1" x14ac:dyDescent="0.35">
      <c r="A301" s="15" t="s">
        <v>497</v>
      </c>
      <c r="B301" s="16" t="s">
        <v>212</v>
      </c>
      <c r="C301" s="15" t="s">
        <v>31</v>
      </c>
      <c r="D301" s="15" t="s">
        <v>24</v>
      </c>
      <c r="E301" s="15" t="s">
        <v>75</v>
      </c>
      <c r="F301" s="15">
        <v>373</v>
      </c>
      <c r="G301" s="15" t="s">
        <v>8</v>
      </c>
      <c r="H301" s="16"/>
      <c r="I301" s="15" t="s">
        <v>17</v>
      </c>
      <c r="J301" s="15" t="s">
        <v>100</v>
      </c>
      <c r="K301" s="15" t="s">
        <v>18</v>
      </c>
      <c r="L301" s="16"/>
    </row>
    <row r="302" spans="1:12" ht="14.25" customHeight="1" x14ac:dyDescent="0.35">
      <c r="A302" s="15" t="s">
        <v>498</v>
      </c>
      <c r="B302" s="16" t="s">
        <v>108</v>
      </c>
      <c r="C302" s="15" t="s">
        <v>31</v>
      </c>
      <c r="D302" s="15" t="s">
        <v>24</v>
      </c>
      <c r="E302" s="15" t="s">
        <v>75</v>
      </c>
      <c r="F302" s="15">
        <v>374</v>
      </c>
      <c r="G302" s="15" t="s">
        <v>8</v>
      </c>
      <c r="H302" s="16"/>
      <c r="I302" s="15" t="s">
        <v>17</v>
      </c>
      <c r="J302" s="15" t="s">
        <v>100</v>
      </c>
      <c r="K302" s="15" t="s">
        <v>18</v>
      </c>
      <c r="L302" s="16"/>
    </row>
    <row r="303" spans="1:12" ht="14.25" customHeight="1" x14ac:dyDescent="0.35">
      <c r="A303" s="15" t="s">
        <v>499</v>
      </c>
      <c r="B303" s="16" t="s">
        <v>209</v>
      </c>
      <c r="C303" s="15" t="s">
        <v>31</v>
      </c>
      <c r="D303" s="15" t="s">
        <v>24</v>
      </c>
      <c r="E303" s="15" t="s">
        <v>75</v>
      </c>
      <c r="F303" s="15">
        <v>375</v>
      </c>
      <c r="G303" s="15" t="s">
        <v>8</v>
      </c>
      <c r="H303" s="16"/>
      <c r="I303" s="15" t="s">
        <v>17</v>
      </c>
      <c r="J303" s="15" t="s">
        <v>100</v>
      </c>
      <c r="K303" s="15" t="s">
        <v>18</v>
      </c>
      <c r="L303" s="16"/>
    </row>
    <row r="304" spans="1:12" ht="14.25" customHeight="1" x14ac:dyDescent="0.35">
      <c r="A304" s="15" t="s">
        <v>500</v>
      </c>
      <c r="B304" s="16" t="s">
        <v>215</v>
      </c>
      <c r="C304" s="15" t="s">
        <v>31</v>
      </c>
      <c r="D304" s="15" t="s">
        <v>24</v>
      </c>
      <c r="E304" s="15" t="s">
        <v>75</v>
      </c>
      <c r="F304" s="15">
        <v>376</v>
      </c>
      <c r="G304" s="15" t="s">
        <v>8</v>
      </c>
      <c r="H304" s="16"/>
      <c r="I304" s="15" t="s">
        <v>17</v>
      </c>
      <c r="J304" s="15" t="s">
        <v>100</v>
      </c>
      <c r="K304" s="15" t="s">
        <v>18</v>
      </c>
      <c r="L304" s="16"/>
    </row>
    <row r="305" spans="1:12" ht="14.25" customHeight="1" x14ac:dyDescent="0.35">
      <c r="A305" s="15" t="s">
        <v>501</v>
      </c>
      <c r="B305" s="16" t="s">
        <v>317</v>
      </c>
      <c r="C305" s="15" t="s">
        <v>31</v>
      </c>
      <c r="D305" s="15" t="s">
        <v>24</v>
      </c>
      <c r="E305" s="15" t="s">
        <v>75</v>
      </c>
      <c r="F305" s="15">
        <v>377</v>
      </c>
      <c r="G305" s="15" t="s">
        <v>8</v>
      </c>
      <c r="H305" s="16"/>
      <c r="I305" s="15" t="s">
        <v>17</v>
      </c>
      <c r="J305" s="15" t="s">
        <v>100</v>
      </c>
      <c r="K305" s="15" t="s">
        <v>18</v>
      </c>
      <c r="L305" s="16"/>
    </row>
    <row r="306" spans="1:12" ht="14.25" customHeight="1" x14ac:dyDescent="0.35">
      <c r="A306" s="15" t="s">
        <v>502</v>
      </c>
      <c r="B306" s="16" t="s">
        <v>246</v>
      </c>
      <c r="C306" s="15" t="s">
        <v>31</v>
      </c>
      <c r="D306" s="15" t="s">
        <v>25</v>
      </c>
      <c r="E306" s="15" t="s">
        <v>75</v>
      </c>
      <c r="F306" s="15">
        <v>378</v>
      </c>
      <c r="G306" s="15" t="s">
        <v>8</v>
      </c>
      <c r="H306" s="16"/>
      <c r="I306" s="15" t="s">
        <v>17</v>
      </c>
      <c r="J306" s="15" t="s">
        <v>71</v>
      </c>
      <c r="K306" s="15" t="s">
        <v>18</v>
      </c>
      <c r="L306" s="16"/>
    </row>
    <row r="307" spans="1:12" ht="14.25" customHeight="1" x14ac:dyDescent="0.35">
      <c r="A307" s="15" t="s">
        <v>503</v>
      </c>
      <c r="B307" s="16" t="s">
        <v>249</v>
      </c>
      <c r="C307" s="15" t="s">
        <v>31</v>
      </c>
      <c r="D307" s="15" t="s">
        <v>25</v>
      </c>
      <c r="E307" s="15" t="s">
        <v>75</v>
      </c>
      <c r="F307" s="15">
        <v>379</v>
      </c>
      <c r="G307" s="15" t="s">
        <v>8</v>
      </c>
      <c r="H307" s="16"/>
      <c r="I307" s="15" t="s">
        <v>17</v>
      </c>
      <c r="J307" s="15" t="s">
        <v>71</v>
      </c>
      <c r="K307" s="15" t="s">
        <v>18</v>
      </c>
      <c r="L307" s="16"/>
    </row>
    <row r="308" spans="1:12" ht="14.25" customHeight="1" x14ac:dyDescent="0.35">
      <c r="A308" s="15" t="s">
        <v>504</v>
      </c>
      <c r="B308" s="16" t="s">
        <v>251</v>
      </c>
      <c r="C308" s="15" t="s">
        <v>31</v>
      </c>
      <c r="D308" s="15" t="s">
        <v>25</v>
      </c>
      <c r="E308" s="15" t="s">
        <v>75</v>
      </c>
      <c r="F308" s="15">
        <v>380</v>
      </c>
      <c r="G308" s="15" t="s">
        <v>8</v>
      </c>
      <c r="H308" s="16"/>
      <c r="I308" s="15" t="s">
        <v>17</v>
      </c>
      <c r="J308" s="15" t="s">
        <v>71</v>
      </c>
      <c r="K308" s="15" t="s">
        <v>18</v>
      </c>
      <c r="L308" s="16"/>
    </row>
    <row r="309" spans="1:12" ht="14.25" customHeight="1" x14ac:dyDescent="0.35">
      <c r="A309" s="15" t="s">
        <v>505</v>
      </c>
      <c r="B309" s="16" t="s">
        <v>253</v>
      </c>
      <c r="C309" s="15" t="s">
        <v>31</v>
      </c>
      <c r="D309" s="15" t="s">
        <v>25</v>
      </c>
      <c r="E309" s="15" t="s">
        <v>75</v>
      </c>
      <c r="F309" s="15">
        <v>381</v>
      </c>
      <c r="G309" s="15" t="s">
        <v>8</v>
      </c>
      <c r="H309" s="16"/>
      <c r="I309" s="15" t="s">
        <v>17</v>
      </c>
      <c r="J309" s="15" t="s">
        <v>71</v>
      </c>
      <c r="K309" s="15" t="s">
        <v>18</v>
      </c>
      <c r="L309" s="16"/>
    </row>
    <row r="310" spans="1:12" ht="14.25" customHeight="1" x14ac:dyDescent="0.35">
      <c r="A310" s="15" t="s">
        <v>506</v>
      </c>
      <c r="B310" s="16" t="s">
        <v>255</v>
      </c>
      <c r="C310" s="15" t="s">
        <v>31</v>
      </c>
      <c r="D310" s="15" t="s">
        <v>25</v>
      </c>
      <c r="E310" s="15" t="s">
        <v>75</v>
      </c>
      <c r="F310" s="15">
        <v>382</v>
      </c>
      <c r="G310" s="15" t="s">
        <v>8</v>
      </c>
      <c r="H310" s="16"/>
      <c r="I310" s="15" t="s">
        <v>17</v>
      </c>
      <c r="J310" s="15" t="s">
        <v>71</v>
      </c>
      <c r="K310" s="15" t="s">
        <v>18</v>
      </c>
      <c r="L310" s="16"/>
    </row>
    <row r="311" spans="1:12" ht="14.25" customHeight="1" x14ac:dyDescent="0.35">
      <c r="A311" s="15" t="s">
        <v>507</v>
      </c>
      <c r="B311" s="16" t="s">
        <v>257</v>
      </c>
      <c r="C311" s="15" t="s">
        <v>31</v>
      </c>
      <c r="D311" s="15" t="s">
        <v>25</v>
      </c>
      <c r="E311" s="15" t="s">
        <v>75</v>
      </c>
      <c r="F311" s="15">
        <v>383</v>
      </c>
      <c r="G311" s="15" t="s">
        <v>8</v>
      </c>
      <c r="H311" s="16"/>
      <c r="I311" s="15" t="s">
        <v>16</v>
      </c>
      <c r="J311" s="15" t="s">
        <v>81</v>
      </c>
      <c r="K311" s="15" t="s">
        <v>18</v>
      </c>
      <c r="L311" s="16"/>
    </row>
    <row r="312" spans="1:12" ht="14.25" customHeight="1" x14ac:dyDescent="0.35">
      <c r="A312" s="15" t="s">
        <v>508</v>
      </c>
      <c r="B312" s="16" t="s">
        <v>259</v>
      </c>
      <c r="C312" s="15" t="s">
        <v>31</v>
      </c>
      <c r="D312" s="15" t="s">
        <v>26</v>
      </c>
      <c r="E312" s="15" t="s">
        <v>75</v>
      </c>
      <c r="F312" s="15">
        <v>384</v>
      </c>
      <c r="G312" s="15" t="s">
        <v>8</v>
      </c>
      <c r="H312" s="16"/>
      <c r="I312" s="15" t="s">
        <v>17</v>
      </c>
      <c r="J312" s="15" t="s">
        <v>260</v>
      </c>
      <c r="K312" s="15" t="s">
        <v>18</v>
      </c>
      <c r="L312" s="16"/>
    </row>
    <row r="313" spans="1:12" ht="14.25" customHeight="1" x14ac:dyDescent="0.35">
      <c r="A313" s="15" t="s">
        <v>509</v>
      </c>
      <c r="B313" s="16" t="s">
        <v>262</v>
      </c>
      <c r="C313" s="15" t="s">
        <v>31</v>
      </c>
      <c r="D313" s="15" t="s">
        <v>26</v>
      </c>
      <c r="E313" s="15" t="s">
        <v>75</v>
      </c>
      <c r="F313" s="15">
        <v>385</v>
      </c>
      <c r="G313" s="15" t="s">
        <v>8</v>
      </c>
      <c r="H313" s="16"/>
      <c r="I313" s="15" t="s">
        <v>17</v>
      </c>
      <c r="J313" s="15" t="s">
        <v>260</v>
      </c>
      <c r="K313" s="15" t="s">
        <v>18</v>
      </c>
      <c r="L313" s="16"/>
    </row>
    <row r="314" spans="1:12" ht="14.25" customHeight="1" x14ac:dyDescent="0.35">
      <c r="A314" s="15" t="s">
        <v>510</v>
      </c>
      <c r="B314" s="16" t="s">
        <v>264</v>
      </c>
      <c r="C314" s="15" t="s">
        <v>31</v>
      </c>
      <c r="D314" s="15" t="s">
        <v>26</v>
      </c>
      <c r="E314" s="15" t="s">
        <v>75</v>
      </c>
      <c r="F314" s="15">
        <v>386</v>
      </c>
      <c r="G314" s="15" t="s">
        <v>8</v>
      </c>
      <c r="H314" s="16"/>
      <c r="I314" s="15" t="s">
        <v>17</v>
      </c>
      <c r="J314" s="15" t="s">
        <v>260</v>
      </c>
      <c r="K314" s="15" t="s">
        <v>18</v>
      </c>
      <c r="L314" s="16"/>
    </row>
    <row r="315" spans="1:12" ht="14.25" customHeight="1" x14ac:dyDescent="0.35">
      <c r="A315" s="15" t="s">
        <v>511</v>
      </c>
      <c r="B315" s="16" t="s">
        <v>266</v>
      </c>
      <c r="C315" s="15" t="s">
        <v>31</v>
      </c>
      <c r="D315" s="15" t="s">
        <v>26</v>
      </c>
      <c r="E315" s="15" t="s">
        <v>75</v>
      </c>
      <c r="F315" s="15">
        <v>387</v>
      </c>
      <c r="G315" s="15" t="s">
        <v>8</v>
      </c>
      <c r="H315" s="16"/>
      <c r="I315" s="15" t="s">
        <v>17</v>
      </c>
      <c r="J315" s="15" t="s">
        <v>260</v>
      </c>
      <c r="K315" s="15" t="s">
        <v>18</v>
      </c>
      <c r="L315" s="16"/>
    </row>
    <row r="316" spans="1:12" ht="14.25" customHeight="1" x14ac:dyDescent="0.35">
      <c r="A316" s="15" t="s">
        <v>512</v>
      </c>
      <c r="B316" s="16" t="s">
        <v>513</v>
      </c>
      <c r="C316" s="15" t="s">
        <v>31</v>
      </c>
      <c r="D316" s="15" t="s">
        <v>26</v>
      </c>
      <c r="E316" s="15" t="s">
        <v>75</v>
      </c>
      <c r="F316" s="15">
        <v>388</v>
      </c>
      <c r="G316" s="15" t="s">
        <v>8</v>
      </c>
      <c r="H316" s="16"/>
      <c r="I316" s="15" t="s">
        <v>17</v>
      </c>
      <c r="J316" s="15" t="s">
        <v>260</v>
      </c>
      <c r="K316" s="15" t="s">
        <v>18</v>
      </c>
      <c r="L316" s="16"/>
    </row>
    <row r="317" spans="1:12" ht="14.25" customHeight="1" x14ac:dyDescent="0.35">
      <c r="A317" s="15" t="s">
        <v>514</v>
      </c>
      <c r="B317" s="16" t="s">
        <v>268</v>
      </c>
      <c r="C317" s="15" t="s">
        <v>31</v>
      </c>
      <c r="D317" s="15" t="s">
        <v>26</v>
      </c>
      <c r="E317" s="15" t="s">
        <v>75</v>
      </c>
      <c r="F317" s="15">
        <v>389</v>
      </c>
      <c r="G317" s="15" t="s">
        <v>8</v>
      </c>
      <c r="H317" s="16"/>
      <c r="I317" s="15" t="s">
        <v>17</v>
      </c>
      <c r="J317" s="15" t="s">
        <v>48</v>
      </c>
      <c r="K317" s="15" t="s">
        <v>18</v>
      </c>
      <c r="L317" s="16"/>
    </row>
    <row r="318" spans="1:12" ht="14.25" customHeight="1" x14ac:dyDescent="0.35">
      <c r="A318" s="15" t="s">
        <v>515</v>
      </c>
      <c r="B318" s="16" t="s">
        <v>516</v>
      </c>
      <c r="C318" s="15" t="s">
        <v>31</v>
      </c>
      <c r="D318" s="15" t="s">
        <v>27</v>
      </c>
      <c r="E318" s="15" t="s">
        <v>75</v>
      </c>
      <c r="F318" s="15">
        <v>390</v>
      </c>
      <c r="G318" s="15" t="s">
        <v>8</v>
      </c>
      <c r="H318" s="16"/>
      <c r="I318" s="15" t="s">
        <v>17</v>
      </c>
      <c r="J318" s="15" t="s">
        <v>271</v>
      </c>
      <c r="K318" s="15" t="s">
        <v>19</v>
      </c>
      <c r="L318" s="16"/>
    </row>
    <row r="319" spans="1:12" ht="14.25" customHeight="1" x14ac:dyDescent="0.35">
      <c r="A319" s="15" t="s">
        <v>517</v>
      </c>
      <c r="B319" s="16" t="s">
        <v>273</v>
      </c>
      <c r="C319" s="15" t="s">
        <v>31</v>
      </c>
      <c r="D319" s="15" t="s">
        <v>28</v>
      </c>
      <c r="E319" s="15" t="s">
        <v>75</v>
      </c>
      <c r="F319" s="15">
        <v>391</v>
      </c>
      <c r="G319" s="15" t="s">
        <v>8</v>
      </c>
      <c r="H319" s="16"/>
      <c r="I319" s="15" t="s">
        <v>17</v>
      </c>
      <c r="J319" s="15" t="s">
        <v>274</v>
      </c>
      <c r="K319" s="15" t="s">
        <v>19</v>
      </c>
      <c r="L319" s="16"/>
    </row>
    <row r="320" spans="1:12" ht="14.25" customHeight="1" x14ac:dyDescent="0.35">
      <c r="A320" s="15" t="s">
        <v>518</v>
      </c>
      <c r="B320" s="16" t="s">
        <v>55</v>
      </c>
      <c r="C320" s="15" t="s">
        <v>31</v>
      </c>
      <c r="D320" s="15" t="s">
        <v>28</v>
      </c>
      <c r="E320" s="15" t="s">
        <v>53</v>
      </c>
      <c r="F320" s="15">
        <v>392</v>
      </c>
      <c r="G320" s="15" t="s">
        <v>8</v>
      </c>
      <c r="H320" s="16"/>
      <c r="I320" s="15" t="s">
        <v>17</v>
      </c>
      <c r="J320" s="15" t="s">
        <v>274</v>
      </c>
      <c r="K320" s="15" t="s">
        <v>19</v>
      </c>
      <c r="L320" s="16"/>
    </row>
    <row r="321" spans="1:12" ht="14.25" customHeight="1" x14ac:dyDescent="0.35">
      <c r="A321" s="15" t="s">
        <v>519</v>
      </c>
      <c r="B321" s="16" t="s">
        <v>277</v>
      </c>
      <c r="C321" s="15" t="s">
        <v>31</v>
      </c>
      <c r="D321" s="15" t="s">
        <v>28</v>
      </c>
      <c r="E321" s="15" t="s">
        <v>75</v>
      </c>
      <c r="F321" s="15">
        <v>393</v>
      </c>
      <c r="G321" s="15" t="s">
        <v>8</v>
      </c>
      <c r="H321" s="16"/>
      <c r="I321" s="15" t="s">
        <v>17</v>
      </c>
      <c r="J321" s="15" t="s">
        <v>274</v>
      </c>
      <c r="K321" s="15" t="s">
        <v>19</v>
      </c>
      <c r="L321" s="16"/>
    </row>
    <row r="322" spans="1:12" ht="14.25" customHeight="1" x14ac:dyDescent="0.35">
      <c r="A322" s="15" t="s">
        <v>520</v>
      </c>
      <c r="B322" s="16" t="s">
        <v>279</v>
      </c>
      <c r="C322" s="15" t="s">
        <v>31</v>
      </c>
      <c r="D322" s="15" t="s">
        <v>28</v>
      </c>
      <c r="E322" s="15" t="s">
        <v>68</v>
      </c>
      <c r="F322" s="15">
        <v>394</v>
      </c>
      <c r="G322" s="15" t="s">
        <v>8</v>
      </c>
      <c r="H322" s="16"/>
      <c r="I322" s="15" t="s">
        <v>17</v>
      </c>
      <c r="J322" s="15" t="s">
        <v>274</v>
      </c>
      <c r="K322" s="15" t="s">
        <v>19</v>
      </c>
      <c r="L322" s="16"/>
    </row>
    <row r="323" spans="1:12" ht="14.25" customHeight="1" x14ac:dyDescent="0.35">
      <c r="A323" s="15" t="s">
        <v>521</v>
      </c>
      <c r="B323" s="16" t="s">
        <v>281</v>
      </c>
      <c r="C323" s="15" t="s">
        <v>31</v>
      </c>
      <c r="D323" s="15" t="s">
        <v>28</v>
      </c>
      <c r="E323" s="15" t="s">
        <v>75</v>
      </c>
      <c r="F323" s="15">
        <v>395</v>
      </c>
      <c r="G323" s="15" t="s">
        <v>8</v>
      </c>
      <c r="H323" s="16"/>
      <c r="I323" s="15" t="s">
        <v>17</v>
      </c>
      <c r="J323" s="15" t="s">
        <v>274</v>
      </c>
      <c r="K323" s="15" t="s">
        <v>19</v>
      </c>
      <c r="L323" s="16"/>
    </row>
    <row r="324" spans="1:12" ht="14.25" customHeight="1" x14ac:dyDescent="0.35">
      <c r="A324" s="15" t="s">
        <v>522</v>
      </c>
      <c r="B324" s="16" t="s">
        <v>283</v>
      </c>
      <c r="C324" s="15" t="s">
        <v>31</v>
      </c>
      <c r="D324" s="15" t="s">
        <v>28</v>
      </c>
      <c r="E324" s="15" t="s">
        <v>75</v>
      </c>
      <c r="F324" s="15">
        <v>396</v>
      </c>
      <c r="G324" s="15" t="s">
        <v>8</v>
      </c>
      <c r="H324" s="16"/>
      <c r="I324" s="15" t="s">
        <v>17</v>
      </c>
      <c r="J324" s="15" t="s">
        <v>271</v>
      </c>
      <c r="K324" s="15" t="s">
        <v>19</v>
      </c>
      <c r="L324" s="16"/>
    </row>
    <row r="325" spans="1:12" ht="14.25" customHeight="1" x14ac:dyDescent="0.35">
      <c r="A325" s="15" t="s">
        <v>523</v>
      </c>
      <c r="B325" s="16" t="s">
        <v>524</v>
      </c>
      <c r="C325" s="15" t="s">
        <v>32</v>
      </c>
      <c r="D325" s="15" t="s">
        <v>22</v>
      </c>
      <c r="E325" s="15" t="s">
        <v>47</v>
      </c>
      <c r="F325" s="15">
        <v>397</v>
      </c>
      <c r="G325" s="15" t="s">
        <v>8</v>
      </c>
      <c r="H325" s="16"/>
      <c r="I325" s="15" t="s">
        <v>17</v>
      </c>
      <c r="J325" s="15" t="s">
        <v>48</v>
      </c>
      <c r="K325" s="15" t="s">
        <v>18</v>
      </c>
      <c r="L325" s="16"/>
    </row>
    <row r="326" spans="1:12" ht="14.25" customHeight="1" x14ac:dyDescent="0.35">
      <c r="A326" s="15" t="s">
        <v>525</v>
      </c>
      <c r="B326" s="16" t="s">
        <v>526</v>
      </c>
      <c r="C326" s="15" t="s">
        <v>32</v>
      </c>
      <c r="D326" s="15" t="s">
        <v>22</v>
      </c>
      <c r="E326" s="15" t="s">
        <v>47</v>
      </c>
      <c r="F326" s="15">
        <v>398</v>
      </c>
      <c r="G326" s="15" t="s">
        <v>8</v>
      </c>
      <c r="H326" s="16"/>
      <c r="I326" s="15" t="s">
        <v>17</v>
      </c>
      <c r="J326" s="15" t="s">
        <v>48</v>
      </c>
      <c r="K326" s="15" t="s">
        <v>19</v>
      </c>
      <c r="L326" s="16"/>
    </row>
    <row r="327" spans="1:12" ht="14.25" customHeight="1" x14ac:dyDescent="0.35">
      <c r="A327" s="15" t="s">
        <v>527</v>
      </c>
      <c r="B327" s="16" t="s">
        <v>528</v>
      </c>
      <c r="C327" s="15" t="s">
        <v>32</v>
      </c>
      <c r="D327" s="15" t="s">
        <v>22</v>
      </c>
      <c r="E327" s="15" t="s">
        <v>47</v>
      </c>
      <c r="F327" s="15">
        <v>399</v>
      </c>
      <c r="G327" s="15" t="s">
        <v>8</v>
      </c>
      <c r="H327" s="16"/>
      <c r="I327" s="15" t="s">
        <v>17</v>
      </c>
      <c r="J327" s="15" t="s">
        <v>48</v>
      </c>
      <c r="K327" s="15" t="s">
        <v>18</v>
      </c>
      <c r="L327" s="16"/>
    </row>
    <row r="328" spans="1:12" ht="14.25" customHeight="1" x14ac:dyDescent="0.35">
      <c r="A328" s="15" t="s">
        <v>529</v>
      </c>
      <c r="B328" s="16" t="s">
        <v>530</v>
      </c>
      <c r="C328" s="15" t="s">
        <v>32</v>
      </c>
      <c r="D328" s="15" t="s">
        <v>22</v>
      </c>
      <c r="E328" s="15" t="s">
        <v>47</v>
      </c>
      <c r="F328" s="15">
        <v>400</v>
      </c>
      <c r="G328" s="15" t="s">
        <v>8</v>
      </c>
      <c r="H328" s="16"/>
      <c r="I328" s="15" t="s">
        <v>17</v>
      </c>
      <c r="J328" s="15" t="s">
        <v>71</v>
      </c>
      <c r="K328" s="15" t="s">
        <v>18</v>
      </c>
      <c r="L328" s="16"/>
    </row>
    <row r="329" spans="1:12" ht="14.25" customHeight="1" x14ac:dyDescent="0.35">
      <c r="A329" s="15" t="s">
        <v>531</v>
      </c>
      <c r="B329" s="16" t="s">
        <v>532</v>
      </c>
      <c r="C329" s="15" t="s">
        <v>32</v>
      </c>
      <c r="D329" s="15" t="s">
        <v>23</v>
      </c>
      <c r="E329" s="15" t="s">
        <v>68</v>
      </c>
      <c r="F329" s="15">
        <v>401</v>
      </c>
      <c r="G329" s="15" t="s">
        <v>8</v>
      </c>
      <c r="H329" s="16"/>
      <c r="I329" s="15" t="s">
        <v>17</v>
      </c>
      <c r="J329" s="15" t="s">
        <v>48</v>
      </c>
      <c r="K329" s="15" t="s">
        <v>18</v>
      </c>
      <c r="L329" s="16"/>
    </row>
    <row r="330" spans="1:12" ht="14.25" customHeight="1" x14ac:dyDescent="0.35">
      <c r="A330" s="15" t="s">
        <v>533</v>
      </c>
      <c r="B330" s="16" t="s">
        <v>534</v>
      </c>
      <c r="C330" s="15" t="s">
        <v>32</v>
      </c>
      <c r="D330" s="15" t="s">
        <v>23</v>
      </c>
      <c r="E330" s="15" t="s">
        <v>47</v>
      </c>
      <c r="F330" s="15">
        <v>402</v>
      </c>
      <c r="G330" s="15" t="s">
        <v>8</v>
      </c>
      <c r="H330" s="16"/>
      <c r="I330" s="15" t="s">
        <v>17</v>
      </c>
      <c r="J330" s="15" t="s">
        <v>48</v>
      </c>
      <c r="K330" s="15" t="s">
        <v>18</v>
      </c>
      <c r="L330" s="16"/>
    </row>
    <row r="331" spans="1:12" ht="14.25" customHeight="1" x14ac:dyDescent="0.35">
      <c r="A331" s="15" t="s">
        <v>535</v>
      </c>
      <c r="B331" s="16" t="s">
        <v>536</v>
      </c>
      <c r="C331" s="15" t="s">
        <v>32</v>
      </c>
      <c r="D331" s="15" t="s">
        <v>23</v>
      </c>
      <c r="E331" s="15" t="s">
        <v>47</v>
      </c>
      <c r="F331" s="15">
        <v>403</v>
      </c>
      <c r="G331" s="15" t="s">
        <v>8</v>
      </c>
      <c r="H331" s="16"/>
      <c r="I331" s="15" t="s">
        <v>17</v>
      </c>
      <c r="J331" s="15" t="s">
        <v>48</v>
      </c>
      <c r="K331" s="15" t="s">
        <v>18</v>
      </c>
      <c r="L331" s="16"/>
    </row>
  </sheetData>
  <autoFilter ref="A1:L331" xr:uid="{00000000-0009-0000-0000-000001000000}"/>
  <dataValidations count="3">
    <dataValidation type="list" allowBlank="1" errorTitle="Not in the list" error="Pick a value from the list on the Status key tab" sqref="G2:G331" xr:uid="{00000000-0002-0000-0100-000000000000}">
      <formula1>StatusList</formula1>
      <formula2>0</formula2>
    </dataValidation>
    <dataValidation type="list" allowBlank="1" errorTitle="Not in the list" error="Pick a value from the list on the Status key tab" sqref="I2:I331" xr:uid="{00000000-0002-0000-0100-000001000000}">
      <formula1>SourceList</formula1>
      <formula2>0</formula2>
    </dataValidation>
    <dataValidation type="list" allowBlank="1" errorTitle="Not in the list" error="Pick a value from the list on the Status key tab" sqref="K2:K331" xr:uid="{00000000-0002-0000-0100-000002000000}">
      <formula1>DeltaList</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C818"/>
  <sheetViews>
    <sheetView zoomScaleNormal="100" workbookViewId="0">
      <pane ySplit="6" topLeftCell="A9" activePane="bottomLeft" state="frozen"/>
      <selection pane="bottomLeft" activeCell="C20" sqref="C16:C20"/>
    </sheetView>
  </sheetViews>
  <sheetFormatPr defaultColWidth="8.6328125" defaultRowHeight="14.5" x14ac:dyDescent="0.35"/>
  <cols>
    <col min="1" max="1" width="16" customWidth="1"/>
    <col min="2" max="2" width="44" customWidth="1"/>
    <col min="3" max="3" width="96" customWidth="1"/>
  </cols>
  <sheetData>
    <row r="1" spans="1:3" ht="15.5" x14ac:dyDescent="0.35">
      <c r="A1" s="2" t="s">
        <v>607</v>
      </c>
    </row>
    <row r="2" spans="1:3" ht="15" customHeight="1" x14ac:dyDescent="0.35">
      <c r="A2" s="34" t="s">
        <v>608</v>
      </c>
      <c r="B2" s="34"/>
      <c r="C2" s="34"/>
    </row>
    <row r="3" spans="1:3" x14ac:dyDescent="0.35">
      <c r="A3" s="34"/>
      <c r="B3" s="34"/>
      <c r="C3" s="34"/>
    </row>
    <row r="4" spans="1:3" x14ac:dyDescent="0.35">
      <c r="A4" s="34"/>
      <c r="B4" s="34"/>
      <c r="C4" s="34"/>
    </row>
    <row r="6" spans="1:3" ht="19.5" customHeight="1" x14ac:dyDescent="0.35">
      <c r="A6" s="3" t="s">
        <v>609</v>
      </c>
      <c r="B6" s="3" t="s">
        <v>610</v>
      </c>
      <c r="C6" s="3" t="s">
        <v>611</v>
      </c>
    </row>
    <row r="7" spans="1:3" hidden="1" x14ac:dyDescent="0.35">
      <c r="A7" s="27" t="s">
        <v>45</v>
      </c>
      <c r="B7" s="27" t="s">
        <v>612</v>
      </c>
      <c r="C7" s="28" t="s">
        <v>613</v>
      </c>
    </row>
    <row r="8" spans="1:3" hidden="1" x14ac:dyDescent="0.35">
      <c r="A8" s="27" t="s">
        <v>49</v>
      </c>
      <c r="B8" s="27" t="s">
        <v>612</v>
      </c>
      <c r="C8" s="28" t="s">
        <v>613</v>
      </c>
    </row>
    <row r="9" spans="1:3" x14ac:dyDescent="0.35">
      <c r="A9" s="27" t="s">
        <v>51</v>
      </c>
      <c r="B9" s="27" t="s">
        <v>614</v>
      </c>
      <c r="C9" s="28" t="s">
        <v>615</v>
      </c>
    </row>
    <row r="10" spans="1:3" hidden="1" x14ac:dyDescent="0.35">
      <c r="A10" s="27" t="s">
        <v>51</v>
      </c>
      <c r="B10" s="27" t="s">
        <v>612</v>
      </c>
      <c r="C10" s="28" t="s">
        <v>616</v>
      </c>
    </row>
    <row r="11" spans="1:3" x14ac:dyDescent="0.35">
      <c r="A11" s="27" t="s">
        <v>54</v>
      </c>
      <c r="B11" s="27" t="s">
        <v>614</v>
      </c>
      <c r="C11" s="28" t="s">
        <v>617</v>
      </c>
    </row>
    <row r="12" spans="1:3" hidden="1" x14ac:dyDescent="0.35">
      <c r="A12" s="27" t="s">
        <v>56</v>
      </c>
      <c r="B12" s="27" t="s">
        <v>612</v>
      </c>
      <c r="C12" s="28" t="s">
        <v>613</v>
      </c>
    </row>
    <row r="13" spans="1:3" hidden="1" x14ac:dyDescent="0.35">
      <c r="A13" s="27" t="s">
        <v>58</v>
      </c>
      <c r="B13" s="27" t="s">
        <v>612</v>
      </c>
      <c r="C13" s="28" t="s">
        <v>613</v>
      </c>
    </row>
    <row r="14" spans="1:3" hidden="1" x14ac:dyDescent="0.35">
      <c r="A14" s="27" t="s">
        <v>59</v>
      </c>
      <c r="B14" s="27" t="s">
        <v>618</v>
      </c>
      <c r="C14" s="28"/>
    </row>
    <row r="15" spans="1:3" hidden="1" x14ac:dyDescent="0.35">
      <c r="A15" s="27" t="s">
        <v>61</v>
      </c>
      <c r="B15" s="27" t="s">
        <v>619</v>
      </c>
      <c r="C15" s="28"/>
    </row>
    <row r="16" spans="1:3" hidden="1" x14ac:dyDescent="0.35">
      <c r="A16" s="27" t="s">
        <v>61</v>
      </c>
      <c r="B16" s="27" t="s">
        <v>612</v>
      </c>
      <c r="C16" s="28" t="s">
        <v>613</v>
      </c>
    </row>
    <row r="17" spans="1:3" hidden="1" x14ac:dyDescent="0.35">
      <c r="A17" s="27" t="s">
        <v>61</v>
      </c>
      <c r="B17" s="27" t="s">
        <v>612</v>
      </c>
      <c r="C17" s="28" t="s">
        <v>620</v>
      </c>
    </row>
    <row r="18" spans="1:3" hidden="1" x14ac:dyDescent="0.35">
      <c r="A18" s="27" t="s">
        <v>61</v>
      </c>
      <c r="B18" s="27" t="s">
        <v>612</v>
      </c>
      <c r="C18" s="28" t="s">
        <v>621</v>
      </c>
    </row>
    <row r="19" spans="1:3" hidden="1" x14ac:dyDescent="0.35">
      <c r="A19" s="27" t="s">
        <v>61</v>
      </c>
      <c r="B19" s="27" t="s">
        <v>622</v>
      </c>
      <c r="C19" s="28" t="s">
        <v>621</v>
      </c>
    </row>
    <row r="20" spans="1:3" hidden="1" x14ac:dyDescent="0.35">
      <c r="A20" s="27" t="s">
        <v>61</v>
      </c>
      <c r="B20" s="27" t="s">
        <v>623</v>
      </c>
      <c r="C20" s="28" t="s">
        <v>621</v>
      </c>
    </row>
    <row r="21" spans="1:3" hidden="1" x14ac:dyDescent="0.35">
      <c r="A21" s="27" t="s">
        <v>61</v>
      </c>
      <c r="B21" s="27" t="s">
        <v>624</v>
      </c>
      <c r="C21" s="28"/>
    </row>
    <row r="22" spans="1:3" hidden="1" x14ac:dyDescent="0.35">
      <c r="A22" s="27" t="s">
        <v>64</v>
      </c>
      <c r="B22" s="27" t="s">
        <v>612</v>
      </c>
      <c r="C22" s="28" t="s">
        <v>613</v>
      </c>
    </row>
    <row r="23" spans="1:3" hidden="1" x14ac:dyDescent="0.35">
      <c r="A23" s="27" t="s">
        <v>64</v>
      </c>
      <c r="B23" s="27" t="s">
        <v>624</v>
      </c>
      <c r="C23" s="28"/>
    </row>
    <row r="24" spans="1:3" x14ac:dyDescent="0.35">
      <c r="A24" s="27" t="s">
        <v>66</v>
      </c>
      <c r="B24" s="27" t="s">
        <v>614</v>
      </c>
      <c r="C24" s="28" t="s">
        <v>625</v>
      </c>
    </row>
    <row r="25" spans="1:3" hidden="1" x14ac:dyDescent="0.35">
      <c r="A25" s="27" t="s">
        <v>69</v>
      </c>
      <c r="B25" s="27" t="s">
        <v>626</v>
      </c>
      <c r="C25" s="28" t="s">
        <v>627</v>
      </c>
    </row>
    <row r="26" spans="1:3" hidden="1" x14ac:dyDescent="0.35">
      <c r="A26" s="27" t="s">
        <v>69</v>
      </c>
      <c r="B26" s="27" t="s">
        <v>628</v>
      </c>
      <c r="C26" s="28"/>
    </row>
    <row r="27" spans="1:3" hidden="1" x14ac:dyDescent="0.35">
      <c r="A27" s="27" t="s">
        <v>73</v>
      </c>
      <c r="B27" s="27" t="s">
        <v>626</v>
      </c>
      <c r="C27" s="28" t="s">
        <v>627</v>
      </c>
    </row>
    <row r="28" spans="1:3" hidden="1" x14ac:dyDescent="0.35">
      <c r="A28" s="27" t="s">
        <v>76</v>
      </c>
      <c r="B28" s="27" t="s">
        <v>626</v>
      </c>
      <c r="C28" s="28" t="s">
        <v>627</v>
      </c>
    </row>
    <row r="29" spans="1:3" hidden="1" x14ac:dyDescent="0.35">
      <c r="A29" s="27" t="s">
        <v>78</v>
      </c>
      <c r="B29" s="27" t="s">
        <v>628</v>
      </c>
      <c r="C29" s="28"/>
    </row>
    <row r="30" spans="1:3" hidden="1" x14ac:dyDescent="0.35">
      <c r="A30" s="27" t="s">
        <v>82</v>
      </c>
      <c r="B30" s="27" t="s">
        <v>628</v>
      </c>
      <c r="C30" s="28"/>
    </row>
    <row r="31" spans="1:3" hidden="1" x14ac:dyDescent="0.35">
      <c r="A31" s="27" t="s">
        <v>84</v>
      </c>
      <c r="B31" s="27" t="s">
        <v>618</v>
      </c>
      <c r="C31" s="28"/>
    </row>
    <row r="32" spans="1:3" hidden="1" x14ac:dyDescent="0.35">
      <c r="A32" s="27" t="s">
        <v>85</v>
      </c>
      <c r="B32" s="27" t="s">
        <v>629</v>
      </c>
      <c r="C32" s="28"/>
    </row>
    <row r="33" spans="1:3" hidden="1" x14ac:dyDescent="0.35">
      <c r="A33" s="27" t="s">
        <v>87</v>
      </c>
      <c r="B33" s="27" t="s">
        <v>629</v>
      </c>
      <c r="C33" s="28"/>
    </row>
    <row r="34" spans="1:3" hidden="1" x14ac:dyDescent="0.35">
      <c r="A34" s="27" t="s">
        <v>89</v>
      </c>
      <c r="B34" s="27" t="s">
        <v>629</v>
      </c>
      <c r="C34" s="28"/>
    </row>
    <row r="35" spans="1:3" hidden="1" x14ac:dyDescent="0.35">
      <c r="A35" s="27" t="s">
        <v>91</v>
      </c>
      <c r="B35" s="27" t="s">
        <v>626</v>
      </c>
      <c r="C35" s="28" t="s">
        <v>627</v>
      </c>
    </row>
    <row r="36" spans="1:3" hidden="1" x14ac:dyDescent="0.35">
      <c r="A36" s="27" t="s">
        <v>91</v>
      </c>
      <c r="B36" s="27" t="s">
        <v>630</v>
      </c>
      <c r="C36" s="28"/>
    </row>
    <row r="37" spans="1:3" hidden="1" x14ac:dyDescent="0.35">
      <c r="A37" s="27" t="s">
        <v>92</v>
      </c>
      <c r="B37" s="27" t="s">
        <v>629</v>
      </c>
      <c r="C37" s="28"/>
    </row>
    <row r="38" spans="1:3" hidden="1" x14ac:dyDescent="0.35">
      <c r="A38" s="27" t="s">
        <v>94</v>
      </c>
      <c r="B38" s="27" t="s">
        <v>612</v>
      </c>
      <c r="C38" s="28" t="s">
        <v>613</v>
      </c>
    </row>
    <row r="39" spans="1:3" hidden="1" x14ac:dyDescent="0.35">
      <c r="A39" s="27" t="s">
        <v>96</v>
      </c>
      <c r="B39" s="27" t="s">
        <v>629</v>
      </c>
      <c r="C39" s="28"/>
    </row>
    <row r="40" spans="1:3" hidden="1" x14ac:dyDescent="0.35">
      <c r="A40" s="27" t="s">
        <v>98</v>
      </c>
      <c r="B40" s="27" t="s">
        <v>631</v>
      </c>
      <c r="C40" s="28"/>
    </row>
    <row r="41" spans="1:3" hidden="1" x14ac:dyDescent="0.35">
      <c r="A41" s="27" t="s">
        <v>98</v>
      </c>
      <c r="B41" s="27" t="s">
        <v>626</v>
      </c>
      <c r="C41" s="28" t="s">
        <v>627</v>
      </c>
    </row>
    <row r="42" spans="1:3" hidden="1" x14ac:dyDescent="0.35">
      <c r="A42" s="27" t="s">
        <v>101</v>
      </c>
      <c r="B42" s="27" t="s">
        <v>629</v>
      </c>
      <c r="C42" s="28"/>
    </row>
    <row r="43" spans="1:3" hidden="1" x14ac:dyDescent="0.35">
      <c r="A43" s="27" t="s">
        <v>103</v>
      </c>
      <c r="B43" s="27" t="s">
        <v>626</v>
      </c>
      <c r="C43" s="28" t="s">
        <v>627</v>
      </c>
    </row>
    <row r="44" spans="1:3" hidden="1" x14ac:dyDescent="0.35">
      <c r="A44" s="27" t="s">
        <v>103</v>
      </c>
      <c r="B44" s="27" t="s">
        <v>630</v>
      </c>
      <c r="C44" s="28"/>
    </row>
    <row r="45" spans="1:3" hidden="1" x14ac:dyDescent="0.35">
      <c r="A45" s="27" t="s">
        <v>104</v>
      </c>
      <c r="B45" s="27" t="s">
        <v>632</v>
      </c>
      <c r="C45" s="28"/>
    </row>
    <row r="46" spans="1:3" hidden="1" x14ac:dyDescent="0.35">
      <c r="A46" s="27" t="s">
        <v>104</v>
      </c>
      <c r="B46" s="27" t="s">
        <v>626</v>
      </c>
      <c r="C46" s="28" t="s">
        <v>627</v>
      </c>
    </row>
    <row r="47" spans="1:3" hidden="1" x14ac:dyDescent="0.35">
      <c r="A47" s="27" t="s">
        <v>106</v>
      </c>
      <c r="B47" s="27" t="s">
        <v>626</v>
      </c>
      <c r="C47" s="28" t="s">
        <v>627</v>
      </c>
    </row>
    <row r="48" spans="1:3" hidden="1" x14ac:dyDescent="0.35">
      <c r="A48" s="27" t="s">
        <v>106</v>
      </c>
      <c r="B48" s="27" t="s">
        <v>630</v>
      </c>
      <c r="C48" s="28"/>
    </row>
    <row r="49" spans="1:3" hidden="1" x14ac:dyDescent="0.35">
      <c r="A49" s="27" t="s">
        <v>107</v>
      </c>
      <c r="B49" s="27" t="s">
        <v>632</v>
      </c>
      <c r="C49" s="28"/>
    </row>
    <row r="50" spans="1:3" hidden="1" x14ac:dyDescent="0.35">
      <c r="A50" s="27" t="s">
        <v>107</v>
      </c>
      <c r="B50" s="27" t="s">
        <v>626</v>
      </c>
      <c r="C50" s="28" t="s">
        <v>627</v>
      </c>
    </row>
    <row r="51" spans="1:3" hidden="1" x14ac:dyDescent="0.35">
      <c r="A51" s="27" t="s">
        <v>109</v>
      </c>
      <c r="B51" s="27" t="s">
        <v>626</v>
      </c>
      <c r="C51" s="28" t="s">
        <v>627</v>
      </c>
    </row>
    <row r="52" spans="1:3" hidden="1" x14ac:dyDescent="0.35">
      <c r="A52" s="27" t="s">
        <v>109</v>
      </c>
      <c r="B52" s="27" t="s">
        <v>630</v>
      </c>
      <c r="C52" s="28"/>
    </row>
    <row r="53" spans="1:3" hidden="1" x14ac:dyDescent="0.35">
      <c r="A53" s="27" t="s">
        <v>111</v>
      </c>
      <c r="B53" s="27" t="s">
        <v>626</v>
      </c>
      <c r="C53" s="28" t="s">
        <v>627</v>
      </c>
    </row>
    <row r="54" spans="1:3" hidden="1" x14ac:dyDescent="0.35">
      <c r="A54" s="27" t="s">
        <v>111</v>
      </c>
      <c r="B54" s="27" t="s">
        <v>630</v>
      </c>
      <c r="C54" s="28"/>
    </row>
    <row r="55" spans="1:3" hidden="1" x14ac:dyDescent="0.35">
      <c r="A55" s="27" t="s">
        <v>112</v>
      </c>
      <c r="B55" s="27" t="s">
        <v>626</v>
      </c>
      <c r="C55" s="28" t="s">
        <v>627</v>
      </c>
    </row>
    <row r="56" spans="1:3" hidden="1" x14ac:dyDescent="0.35">
      <c r="A56" s="27" t="s">
        <v>112</v>
      </c>
      <c r="B56" s="27" t="s">
        <v>630</v>
      </c>
      <c r="C56" s="28"/>
    </row>
    <row r="57" spans="1:3" hidden="1" x14ac:dyDescent="0.35">
      <c r="A57" s="27" t="s">
        <v>113</v>
      </c>
      <c r="B57" s="27" t="s">
        <v>626</v>
      </c>
      <c r="C57" s="28" t="s">
        <v>627</v>
      </c>
    </row>
    <row r="58" spans="1:3" hidden="1" x14ac:dyDescent="0.35">
      <c r="A58" s="27" t="s">
        <v>113</v>
      </c>
      <c r="B58" s="27" t="s">
        <v>630</v>
      </c>
      <c r="C58" s="28"/>
    </row>
    <row r="59" spans="1:3" hidden="1" x14ac:dyDescent="0.35">
      <c r="A59" s="27" t="s">
        <v>114</v>
      </c>
      <c r="B59" s="27" t="s">
        <v>629</v>
      </c>
      <c r="C59" s="28"/>
    </row>
    <row r="60" spans="1:3" hidden="1" x14ac:dyDescent="0.35">
      <c r="A60" s="27" t="s">
        <v>115</v>
      </c>
      <c r="B60" s="27" t="s">
        <v>626</v>
      </c>
      <c r="C60" s="28" t="s">
        <v>627</v>
      </c>
    </row>
    <row r="61" spans="1:3" hidden="1" x14ac:dyDescent="0.35">
      <c r="A61" s="27" t="s">
        <v>115</v>
      </c>
      <c r="B61" s="27" t="s">
        <v>630</v>
      </c>
      <c r="C61" s="28"/>
    </row>
    <row r="62" spans="1:3" hidden="1" x14ac:dyDescent="0.35">
      <c r="A62" s="27" t="s">
        <v>116</v>
      </c>
      <c r="B62" s="27" t="s">
        <v>633</v>
      </c>
      <c r="C62" s="28"/>
    </row>
    <row r="63" spans="1:3" hidden="1" x14ac:dyDescent="0.35">
      <c r="A63" s="27" t="s">
        <v>119</v>
      </c>
      <c r="B63" s="27" t="s">
        <v>630</v>
      </c>
      <c r="C63" s="28"/>
    </row>
    <row r="64" spans="1:3" hidden="1" x14ac:dyDescent="0.35">
      <c r="A64" s="27" t="s">
        <v>121</v>
      </c>
      <c r="B64" s="27" t="s">
        <v>630</v>
      </c>
      <c r="C64" s="28"/>
    </row>
    <row r="65" spans="1:3" hidden="1" x14ac:dyDescent="0.35">
      <c r="A65" s="27" t="s">
        <v>123</v>
      </c>
      <c r="B65" s="27" t="s">
        <v>633</v>
      </c>
      <c r="C65" s="28" t="s">
        <v>634</v>
      </c>
    </row>
    <row r="66" spans="1:3" hidden="1" x14ac:dyDescent="0.35">
      <c r="A66" s="27" t="s">
        <v>123</v>
      </c>
      <c r="B66" s="27" t="s">
        <v>635</v>
      </c>
      <c r="C66" s="28"/>
    </row>
    <row r="67" spans="1:3" hidden="1" x14ac:dyDescent="0.35">
      <c r="A67" s="27" t="s">
        <v>126</v>
      </c>
      <c r="B67" s="27" t="s">
        <v>633</v>
      </c>
      <c r="C67" s="28" t="s">
        <v>636</v>
      </c>
    </row>
    <row r="68" spans="1:3" hidden="1" x14ac:dyDescent="0.35">
      <c r="A68" s="27" t="s">
        <v>126</v>
      </c>
      <c r="B68" s="27" t="s">
        <v>630</v>
      </c>
      <c r="C68" s="28" t="s">
        <v>637</v>
      </c>
    </row>
    <row r="69" spans="1:3" hidden="1" x14ac:dyDescent="0.35">
      <c r="A69" s="27" t="s">
        <v>128</v>
      </c>
      <c r="B69" s="27" t="s">
        <v>633</v>
      </c>
      <c r="C69" s="28" t="s">
        <v>638</v>
      </c>
    </row>
    <row r="70" spans="1:3" hidden="1" x14ac:dyDescent="0.35">
      <c r="A70" s="27" t="s">
        <v>128</v>
      </c>
      <c r="B70" s="27" t="s">
        <v>630</v>
      </c>
      <c r="C70" s="28" t="s">
        <v>639</v>
      </c>
    </row>
    <row r="71" spans="1:3" hidden="1" x14ac:dyDescent="0.35">
      <c r="A71" s="27" t="s">
        <v>130</v>
      </c>
      <c r="B71" s="27" t="s">
        <v>633</v>
      </c>
      <c r="C71" s="28"/>
    </row>
    <row r="72" spans="1:3" hidden="1" x14ac:dyDescent="0.35">
      <c r="A72" s="27" t="s">
        <v>132</v>
      </c>
      <c r="B72" s="27" t="s">
        <v>633</v>
      </c>
      <c r="C72" s="28" t="s">
        <v>634</v>
      </c>
    </row>
    <row r="73" spans="1:3" hidden="1" x14ac:dyDescent="0.35">
      <c r="A73" s="27" t="s">
        <v>132</v>
      </c>
      <c r="B73" s="27" t="s">
        <v>640</v>
      </c>
      <c r="C73" s="28"/>
    </row>
    <row r="74" spans="1:3" hidden="1" x14ac:dyDescent="0.35">
      <c r="A74" s="27" t="s">
        <v>134</v>
      </c>
      <c r="B74" s="27" t="s">
        <v>618</v>
      </c>
      <c r="C74" s="28"/>
    </row>
    <row r="75" spans="1:3" hidden="1" x14ac:dyDescent="0.35">
      <c r="A75" s="27" t="s">
        <v>134</v>
      </c>
      <c r="B75" s="27" t="s">
        <v>641</v>
      </c>
      <c r="C75" s="28"/>
    </row>
    <row r="76" spans="1:3" hidden="1" x14ac:dyDescent="0.35">
      <c r="A76" s="27" t="s">
        <v>134</v>
      </c>
      <c r="B76" s="27" t="s">
        <v>633</v>
      </c>
      <c r="C76" s="28" t="s">
        <v>634</v>
      </c>
    </row>
    <row r="77" spans="1:3" hidden="1" x14ac:dyDescent="0.35">
      <c r="A77" s="27" t="s">
        <v>136</v>
      </c>
      <c r="B77" s="27" t="s">
        <v>642</v>
      </c>
      <c r="C77" s="28"/>
    </row>
    <row r="78" spans="1:3" hidden="1" x14ac:dyDescent="0.35">
      <c r="A78" s="27" t="s">
        <v>136</v>
      </c>
      <c r="B78" s="27" t="s">
        <v>633</v>
      </c>
      <c r="C78" s="28" t="s">
        <v>634</v>
      </c>
    </row>
    <row r="79" spans="1:3" x14ac:dyDescent="0.35">
      <c r="A79" s="27" t="s">
        <v>138</v>
      </c>
      <c r="B79" s="27" t="s">
        <v>614</v>
      </c>
      <c r="C79" s="28" t="s">
        <v>643</v>
      </c>
    </row>
    <row r="80" spans="1:3" hidden="1" x14ac:dyDescent="0.35">
      <c r="A80" s="27" t="s">
        <v>140</v>
      </c>
      <c r="B80" s="27" t="s">
        <v>644</v>
      </c>
      <c r="C80" s="28"/>
    </row>
    <row r="81" spans="1:3" hidden="1" x14ac:dyDescent="0.35">
      <c r="A81" s="27" t="s">
        <v>140</v>
      </c>
      <c r="B81" s="27" t="s">
        <v>633</v>
      </c>
      <c r="C81" s="28" t="s">
        <v>634</v>
      </c>
    </row>
    <row r="82" spans="1:3" hidden="1" x14ac:dyDescent="0.35">
      <c r="A82" s="27" t="s">
        <v>142</v>
      </c>
      <c r="B82" s="27" t="s">
        <v>633</v>
      </c>
      <c r="C82" s="28" t="s">
        <v>645</v>
      </c>
    </row>
    <row r="83" spans="1:3" hidden="1" x14ac:dyDescent="0.35">
      <c r="A83" s="27" t="s">
        <v>142</v>
      </c>
      <c r="B83" s="27" t="s">
        <v>646</v>
      </c>
      <c r="C83" s="28" t="s">
        <v>647</v>
      </c>
    </row>
    <row r="84" spans="1:3" hidden="1" x14ac:dyDescent="0.35">
      <c r="A84" s="27" t="s">
        <v>142</v>
      </c>
      <c r="B84" s="27" t="s">
        <v>648</v>
      </c>
      <c r="C84" s="28" t="s">
        <v>649</v>
      </c>
    </row>
    <row r="85" spans="1:3" hidden="1" x14ac:dyDescent="0.35">
      <c r="A85" s="27" t="s">
        <v>142</v>
      </c>
      <c r="B85" s="27" t="s">
        <v>648</v>
      </c>
      <c r="C85" s="28" t="s">
        <v>647</v>
      </c>
    </row>
    <row r="86" spans="1:3" hidden="1" x14ac:dyDescent="0.35">
      <c r="A86" s="27" t="s">
        <v>142</v>
      </c>
      <c r="B86" s="27" t="s">
        <v>628</v>
      </c>
      <c r="C86" s="28"/>
    </row>
    <row r="87" spans="1:3" hidden="1" x14ac:dyDescent="0.35">
      <c r="A87" s="27" t="s">
        <v>144</v>
      </c>
      <c r="B87" s="27" t="s">
        <v>633</v>
      </c>
      <c r="C87" s="28"/>
    </row>
    <row r="88" spans="1:3" hidden="1" x14ac:dyDescent="0.35">
      <c r="A88" s="27" t="s">
        <v>144</v>
      </c>
      <c r="B88" s="27" t="s">
        <v>633</v>
      </c>
      <c r="C88" s="28" t="s">
        <v>634</v>
      </c>
    </row>
    <row r="89" spans="1:3" hidden="1" x14ac:dyDescent="0.35">
      <c r="A89" s="27" t="s">
        <v>146</v>
      </c>
      <c r="B89" s="27" t="s">
        <v>650</v>
      </c>
      <c r="C89" s="28" t="s">
        <v>651</v>
      </c>
    </row>
    <row r="90" spans="1:3" hidden="1" x14ac:dyDescent="0.35">
      <c r="A90" s="27" t="s">
        <v>146</v>
      </c>
      <c r="B90" s="27" t="s">
        <v>633</v>
      </c>
      <c r="C90" s="28" t="s">
        <v>652</v>
      </c>
    </row>
    <row r="91" spans="1:3" ht="25" hidden="1" x14ac:dyDescent="0.35">
      <c r="A91" s="27" t="s">
        <v>146</v>
      </c>
      <c r="B91" s="27" t="s">
        <v>633</v>
      </c>
      <c r="C91" s="28" t="s">
        <v>653</v>
      </c>
    </row>
    <row r="92" spans="1:3" hidden="1" x14ac:dyDescent="0.35">
      <c r="A92" s="27" t="s">
        <v>146</v>
      </c>
      <c r="B92" s="27" t="s">
        <v>646</v>
      </c>
      <c r="C92" s="28" t="s">
        <v>654</v>
      </c>
    </row>
    <row r="93" spans="1:3" hidden="1" x14ac:dyDescent="0.35">
      <c r="A93" s="27" t="s">
        <v>146</v>
      </c>
      <c r="B93" s="27" t="s">
        <v>648</v>
      </c>
      <c r="C93" s="28" t="s">
        <v>655</v>
      </c>
    </row>
    <row r="94" spans="1:3" hidden="1" x14ac:dyDescent="0.35">
      <c r="A94" s="27" t="s">
        <v>146</v>
      </c>
      <c r="B94" s="27" t="s">
        <v>648</v>
      </c>
      <c r="C94" s="28" t="s">
        <v>654</v>
      </c>
    </row>
    <row r="95" spans="1:3" hidden="1" x14ac:dyDescent="0.35">
      <c r="A95" s="27" t="s">
        <v>146</v>
      </c>
      <c r="B95" s="27" t="s">
        <v>628</v>
      </c>
      <c r="C95" s="28" t="s">
        <v>651</v>
      </c>
    </row>
    <row r="96" spans="1:3" hidden="1" x14ac:dyDescent="0.35">
      <c r="A96" s="27" t="s">
        <v>148</v>
      </c>
      <c r="B96" s="27" t="s">
        <v>656</v>
      </c>
      <c r="C96" s="28"/>
    </row>
    <row r="97" spans="1:3" hidden="1" x14ac:dyDescent="0.35">
      <c r="A97" s="27" t="s">
        <v>148</v>
      </c>
      <c r="B97" s="27" t="s">
        <v>657</v>
      </c>
      <c r="C97" s="28"/>
    </row>
    <row r="98" spans="1:3" hidden="1" x14ac:dyDescent="0.35">
      <c r="A98" s="27" t="s">
        <v>150</v>
      </c>
      <c r="B98" s="27" t="s">
        <v>633</v>
      </c>
      <c r="C98" s="28"/>
    </row>
    <row r="99" spans="1:3" hidden="1" x14ac:dyDescent="0.35">
      <c r="A99" s="27" t="s">
        <v>152</v>
      </c>
      <c r="B99" s="27" t="s">
        <v>633</v>
      </c>
      <c r="C99" s="28"/>
    </row>
    <row r="100" spans="1:3" x14ac:dyDescent="0.35">
      <c r="A100" s="27" t="s">
        <v>154</v>
      </c>
      <c r="B100" s="27" t="s">
        <v>614</v>
      </c>
      <c r="C100" s="28" t="s">
        <v>643</v>
      </c>
    </row>
    <row r="101" spans="1:3" x14ac:dyDescent="0.35">
      <c r="A101" s="27" t="s">
        <v>154</v>
      </c>
      <c r="B101" s="27" t="s">
        <v>614</v>
      </c>
      <c r="C101" s="28" t="s">
        <v>658</v>
      </c>
    </row>
    <row r="102" spans="1:3" hidden="1" x14ac:dyDescent="0.35">
      <c r="A102" s="27" t="s">
        <v>155</v>
      </c>
      <c r="B102" s="27" t="s">
        <v>659</v>
      </c>
      <c r="C102" s="28" t="s">
        <v>660</v>
      </c>
    </row>
    <row r="103" spans="1:3" hidden="1" x14ac:dyDescent="0.35">
      <c r="A103" s="27" t="s">
        <v>155</v>
      </c>
      <c r="B103" s="27" t="s">
        <v>633</v>
      </c>
      <c r="C103" s="28" t="s">
        <v>661</v>
      </c>
    </row>
    <row r="104" spans="1:3" hidden="1" x14ac:dyDescent="0.35">
      <c r="A104" s="27" t="s">
        <v>157</v>
      </c>
      <c r="B104" s="27" t="s">
        <v>633</v>
      </c>
      <c r="C104" s="28" t="s">
        <v>634</v>
      </c>
    </row>
    <row r="105" spans="1:3" hidden="1" x14ac:dyDescent="0.35">
      <c r="A105" s="27" t="s">
        <v>159</v>
      </c>
      <c r="B105" s="27" t="s">
        <v>662</v>
      </c>
      <c r="C105" s="28"/>
    </row>
    <row r="106" spans="1:3" hidden="1" x14ac:dyDescent="0.35">
      <c r="A106" s="27" t="s">
        <v>159</v>
      </c>
      <c r="B106" s="27" t="s">
        <v>633</v>
      </c>
      <c r="C106" s="28" t="s">
        <v>634</v>
      </c>
    </row>
    <row r="107" spans="1:3" hidden="1" x14ac:dyDescent="0.35">
      <c r="A107" s="27" t="s">
        <v>160</v>
      </c>
      <c r="B107" s="27" t="s">
        <v>650</v>
      </c>
      <c r="C107" s="28"/>
    </row>
    <row r="108" spans="1:3" hidden="1" x14ac:dyDescent="0.35">
      <c r="A108" s="27" t="s">
        <v>160</v>
      </c>
      <c r="B108" s="27" t="s">
        <v>633</v>
      </c>
      <c r="C108" s="28" t="s">
        <v>634</v>
      </c>
    </row>
    <row r="109" spans="1:3" hidden="1" x14ac:dyDescent="0.35">
      <c r="A109" s="27" t="s">
        <v>162</v>
      </c>
      <c r="B109" s="27" t="s">
        <v>650</v>
      </c>
      <c r="C109" s="28"/>
    </row>
    <row r="110" spans="1:3" hidden="1" x14ac:dyDescent="0.35">
      <c r="A110" s="27" t="s">
        <v>162</v>
      </c>
      <c r="B110" s="27" t="s">
        <v>633</v>
      </c>
      <c r="C110" s="28" t="s">
        <v>634</v>
      </c>
    </row>
    <row r="111" spans="1:3" hidden="1" x14ac:dyDescent="0.35">
      <c r="A111" s="27" t="s">
        <v>164</v>
      </c>
      <c r="B111" s="27" t="s">
        <v>633</v>
      </c>
      <c r="C111" s="28" t="s">
        <v>634</v>
      </c>
    </row>
    <row r="112" spans="1:3" hidden="1" x14ac:dyDescent="0.35">
      <c r="A112" s="27" t="s">
        <v>164</v>
      </c>
      <c r="B112" s="27" t="s">
        <v>630</v>
      </c>
      <c r="C112" s="28"/>
    </row>
    <row r="113" spans="1:3" hidden="1" x14ac:dyDescent="0.35">
      <c r="A113" s="27" t="s">
        <v>166</v>
      </c>
      <c r="B113" s="27" t="s">
        <v>633</v>
      </c>
      <c r="C113" s="28" t="s">
        <v>634</v>
      </c>
    </row>
    <row r="114" spans="1:3" hidden="1" x14ac:dyDescent="0.35">
      <c r="A114" s="27" t="s">
        <v>166</v>
      </c>
      <c r="B114" s="27" t="s">
        <v>630</v>
      </c>
      <c r="C114" s="28"/>
    </row>
    <row r="115" spans="1:3" hidden="1" x14ac:dyDescent="0.35">
      <c r="A115" s="27" t="s">
        <v>168</v>
      </c>
      <c r="B115" s="27" t="s">
        <v>633</v>
      </c>
      <c r="C115" s="28" t="s">
        <v>663</v>
      </c>
    </row>
    <row r="116" spans="1:3" hidden="1" x14ac:dyDescent="0.35">
      <c r="A116" s="27" t="s">
        <v>168</v>
      </c>
      <c r="B116" s="27" t="s">
        <v>633</v>
      </c>
      <c r="C116" s="28" t="s">
        <v>664</v>
      </c>
    </row>
    <row r="117" spans="1:3" ht="25" hidden="1" x14ac:dyDescent="0.35">
      <c r="A117" s="27" t="s">
        <v>168</v>
      </c>
      <c r="B117" s="27" t="s">
        <v>633</v>
      </c>
      <c r="C117" s="28" t="s">
        <v>665</v>
      </c>
    </row>
    <row r="118" spans="1:3" hidden="1" x14ac:dyDescent="0.35">
      <c r="A118" s="27" t="s">
        <v>168</v>
      </c>
      <c r="B118" s="27" t="s">
        <v>630</v>
      </c>
      <c r="C118" s="28" t="s">
        <v>666</v>
      </c>
    </row>
    <row r="119" spans="1:3" hidden="1" x14ac:dyDescent="0.35">
      <c r="A119" s="27" t="s">
        <v>168</v>
      </c>
      <c r="B119" s="27" t="s">
        <v>646</v>
      </c>
      <c r="C119" s="28" t="s">
        <v>667</v>
      </c>
    </row>
    <row r="120" spans="1:3" hidden="1" x14ac:dyDescent="0.35">
      <c r="A120" s="27" t="s">
        <v>168</v>
      </c>
      <c r="B120" s="27" t="s">
        <v>648</v>
      </c>
      <c r="C120" s="28" t="s">
        <v>668</v>
      </c>
    </row>
    <row r="121" spans="1:3" hidden="1" x14ac:dyDescent="0.35">
      <c r="A121" s="27" t="s">
        <v>168</v>
      </c>
      <c r="B121" s="27" t="s">
        <v>648</v>
      </c>
      <c r="C121" s="28" t="s">
        <v>667</v>
      </c>
    </row>
    <row r="122" spans="1:3" hidden="1" x14ac:dyDescent="0.35">
      <c r="A122" s="27" t="s">
        <v>170</v>
      </c>
      <c r="B122" s="27" t="s">
        <v>633</v>
      </c>
      <c r="C122" s="28" t="s">
        <v>663</v>
      </c>
    </row>
    <row r="123" spans="1:3" hidden="1" x14ac:dyDescent="0.35">
      <c r="A123" s="27" t="s">
        <v>170</v>
      </c>
      <c r="B123" s="27" t="s">
        <v>633</v>
      </c>
      <c r="C123" s="28" t="s">
        <v>664</v>
      </c>
    </row>
    <row r="124" spans="1:3" ht="25" hidden="1" x14ac:dyDescent="0.35">
      <c r="A124" s="27" t="s">
        <v>170</v>
      </c>
      <c r="B124" s="27" t="s">
        <v>633</v>
      </c>
      <c r="C124" s="28" t="s">
        <v>665</v>
      </c>
    </row>
    <row r="125" spans="1:3" hidden="1" x14ac:dyDescent="0.35">
      <c r="A125" s="27" t="s">
        <v>170</v>
      </c>
      <c r="B125" s="27" t="s">
        <v>630</v>
      </c>
      <c r="C125" s="28" t="s">
        <v>666</v>
      </c>
    </row>
    <row r="126" spans="1:3" hidden="1" x14ac:dyDescent="0.35">
      <c r="A126" s="27" t="s">
        <v>170</v>
      </c>
      <c r="B126" s="27" t="s">
        <v>646</v>
      </c>
      <c r="C126" s="28" t="s">
        <v>667</v>
      </c>
    </row>
    <row r="127" spans="1:3" hidden="1" x14ac:dyDescent="0.35">
      <c r="A127" s="27" t="s">
        <v>170</v>
      </c>
      <c r="B127" s="27" t="s">
        <v>648</v>
      </c>
      <c r="C127" s="28" t="s">
        <v>668</v>
      </c>
    </row>
    <row r="128" spans="1:3" hidden="1" x14ac:dyDescent="0.35">
      <c r="A128" s="27" t="s">
        <v>170</v>
      </c>
      <c r="B128" s="27" t="s">
        <v>648</v>
      </c>
      <c r="C128" s="28" t="s">
        <v>667</v>
      </c>
    </row>
    <row r="129" spans="1:3" hidden="1" x14ac:dyDescent="0.35">
      <c r="A129" s="27" t="s">
        <v>170</v>
      </c>
      <c r="B129" s="27" t="s">
        <v>669</v>
      </c>
      <c r="C129" s="28"/>
    </row>
    <row r="130" spans="1:3" hidden="1" x14ac:dyDescent="0.35">
      <c r="A130" s="27" t="s">
        <v>173</v>
      </c>
      <c r="B130" s="27" t="s">
        <v>612</v>
      </c>
      <c r="C130" s="28" t="s">
        <v>670</v>
      </c>
    </row>
    <row r="131" spans="1:3" hidden="1" x14ac:dyDescent="0.35">
      <c r="A131" s="27" t="s">
        <v>173</v>
      </c>
      <c r="B131" s="27" t="s">
        <v>612</v>
      </c>
      <c r="C131" s="28" t="s">
        <v>671</v>
      </c>
    </row>
    <row r="132" spans="1:3" hidden="1" x14ac:dyDescent="0.35">
      <c r="A132" s="27" t="s">
        <v>173</v>
      </c>
      <c r="B132" s="27" t="s">
        <v>622</v>
      </c>
      <c r="C132" s="28" t="s">
        <v>671</v>
      </c>
    </row>
    <row r="133" spans="1:3" hidden="1" x14ac:dyDescent="0.35">
      <c r="A133" s="27" t="s">
        <v>173</v>
      </c>
      <c r="B133" s="27" t="s">
        <v>623</v>
      </c>
      <c r="C133" s="28" t="s">
        <v>671</v>
      </c>
    </row>
    <row r="134" spans="1:3" ht="25" hidden="1" x14ac:dyDescent="0.35">
      <c r="A134" s="27" t="s">
        <v>173</v>
      </c>
      <c r="B134" s="27" t="s">
        <v>633</v>
      </c>
      <c r="C134" s="28" t="s">
        <v>672</v>
      </c>
    </row>
    <row r="135" spans="1:3" hidden="1" x14ac:dyDescent="0.35">
      <c r="A135" s="27" t="s">
        <v>173</v>
      </c>
      <c r="B135" s="27" t="s">
        <v>633</v>
      </c>
      <c r="C135" s="28" t="s">
        <v>673</v>
      </c>
    </row>
    <row r="136" spans="1:3" ht="25" hidden="1" x14ac:dyDescent="0.35">
      <c r="A136" s="27" t="s">
        <v>173</v>
      </c>
      <c r="B136" s="27" t="s">
        <v>633</v>
      </c>
      <c r="C136" s="28" t="s">
        <v>674</v>
      </c>
    </row>
    <row r="137" spans="1:3" hidden="1" x14ac:dyDescent="0.35">
      <c r="A137" s="27" t="s">
        <v>173</v>
      </c>
      <c r="B137" s="27" t="s">
        <v>630</v>
      </c>
      <c r="C137" s="28" t="s">
        <v>675</v>
      </c>
    </row>
    <row r="138" spans="1:3" hidden="1" x14ac:dyDescent="0.35">
      <c r="A138" s="27" t="s">
        <v>173</v>
      </c>
      <c r="B138" s="27" t="s">
        <v>646</v>
      </c>
      <c r="C138" s="28" t="s">
        <v>676</v>
      </c>
    </row>
    <row r="139" spans="1:3" hidden="1" x14ac:dyDescent="0.35">
      <c r="A139" s="27" t="s">
        <v>173</v>
      </c>
      <c r="B139" s="27" t="s">
        <v>648</v>
      </c>
      <c r="C139" s="28" t="s">
        <v>677</v>
      </c>
    </row>
    <row r="140" spans="1:3" hidden="1" x14ac:dyDescent="0.35">
      <c r="A140" s="27" t="s">
        <v>173</v>
      </c>
      <c r="B140" s="27" t="s">
        <v>648</v>
      </c>
      <c r="C140" s="28" t="s">
        <v>676</v>
      </c>
    </row>
    <row r="141" spans="1:3" hidden="1" x14ac:dyDescent="0.35">
      <c r="A141" s="27" t="s">
        <v>175</v>
      </c>
      <c r="B141" s="27" t="s">
        <v>612</v>
      </c>
      <c r="C141" s="28" t="s">
        <v>620</v>
      </c>
    </row>
    <row r="142" spans="1:3" hidden="1" x14ac:dyDescent="0.35">
      <c r="A142" s="27" t="s">
        <v>175</v>
      </c>
      <c r="B142" s="27" t="s">
        <v>612</v>
      </c>
      <c r="C142" s="28" t="s">
        <v>621</v>
      </c>
    </row>
    <row r="143" spans="1:3" hidden="1" x14ac:dyDescent="0.35">
      <c r="A143" s="27" t="s">
        <v>175</v>
      </c>
      <c r="B143" s="27" t="s">
        <v>622</v>
      </c>
      <c r="C143" s="28" t="s">
        <v>621</v>
      </c>
    </row>
    <row r="144" spans="1:3" hidden="1" x14ac:dyDescent="0.35">
      <c r="A144" s="27" t="s">
        <v>175</v>
      </c>
      <c r="B144" s="27" t="s">
        <v>623</v>
      </c>
      <c r="C144" s="28" t="s">
        <v>621</v>
      </c>
    </row>
    <row r="145" spans="1:3" hidden="1" x14ac:dyDescent="0.35">
      <c r="A145" s="27" t="s">
        <v>175</v>
      </c>
      <c r="B145" s="27" t="s">
        <v>633</v>
      </c>
      <c r="C145" s="28" t="s">
        <v>663</v>
      </c>
    </row>
    <row r="146" spans="1:3" hidden="1" x14ac:dyDescent="0.35">
      <c r="A146" s="27" t="s">
        <v>175</v>
      </c>
      <c r="B146" s="27" t="s">
        <v>633</v>
      </c>
      <c r="C146" s="28" t="s">
        <v>664</v>
      </c>
    </row>
    <row r="147" spans="1:3" ht="25" hidden="1" x14ac:dyDescent="0.35">
      <c r="A147" s="27" t="s">
        <v>175</v>
      </c>
      <c r="B147" s="27" t="s">
        <v>633</v>
      </c>
      <c r="C147" s="28" t="s">
        <v>665</v>
      </c>
    </row>
    <row r="148" spans="1:3" hidden="1" x14ac:dyDescent="0.35">
      <c r="A148" s="27" t="s">
        <v>175</v>
      </c>
      <c r="B148" s="27" t="s">
        <v>630</v>
      </c>
      <c r="C148" s="28" t="s">
        <v>666</v>
      </c>
    </row>
    <row r="149" spans="1:3" hidden="1" x14ac:dyDescent="0.35">
      <c r="A149" s="27" t="s">
        <v>175</v>
      </c>
      <c r="B149" s="27" t="s">
        <v>646</v>
      </c>
      <c r="C149" s="28" t="s">
        <v>667</v>
      </c>
    </row>
    <row r="150" spans="1:3" hidden="1" x14ac:dyDescent="0.35">
      <c r="A150" s="27" t="s">
        <v>175</v>
      </c>
      <c r="B150" s="27" t="s">
        <v>648</v>
      </c>
      <c r="C150" s="28" t="s">
        <v>668</v>
      </c>
    </row>
    <row r="151" spans="1:3" hidden="1" x14ac:dyDescent="0.35">
      <c r="A151" s="27" t="s">
        <v>175</v>
      </c>
      <c r="B151" s="27" t="s">
        <v>648</v>
      </c>
      <c r="C151" s="28" t="s">
        <v>667</v>
      </c>
    </row>
    <row r="152" spans="1:3" ht="25" hidden="1" x14ac:dyDescent="0.35">
      <c r="A152" s="27" t="s">
        <v>177</v>
      </c>
      <c r="B152" s="27" t="s">
        <v>612</v>
      </c>
      <c r="C152" s="28" t="s">
        <v>678</v>
      </c>
    </row>
    <row r="153" spans="1:3" hidden="1" x14ac:dyDescent="0.35">
      <c r="A153" s="27" t="s">
        <v>177</v>
      </c>
      <c r="B153" s="27" t="s">
        <v>612</v>
      </c>
      <c r="C153" s="28" t="s">
        <v>679</v>
      </c>
    </row>
    <row r="154" spans="1:3" hidden="1" x14ac:dyDescent="0.35">
      <c r="A154" s="27" t="s">
        <v>177</v>
      </c>
      <c r="B154" s="27" t="s">
        <v>622</v>
      </c>
      <c r="C154" s="28" t="s">
        <v>679</v>
      </c>
    </row>
    <row r="155" spans="1:3" hidden="1" x14ac:dyDescent="0.35">
      <c r="A155" s="27" t="s">
        <v>177</v>
      </c>
      <c r="B155" s="27" t="s">
        <v>623</v>
      </c>
      <c r="C155" s="28" t="s">
        <v>679</v>
      </c>
    </row>
    <row r="156" spans="1:3" hidden="1" x14ac:dyDescent="0.35">
      <c r="A156" s="27" t="s">
        <v>177</v>
      </c>
      <c r="B156" s="27" t="s">
        <v>680</v>
      </c>
      <c r="C156" s="28" t="s">
        <v>681</v>
      </c>
    </row>
    <row r="157" spans="1:3" ht="25" hidden="1" x14ac:dyDescent="0.35">
      <c r="A157" s="27" t="s">
        <v>177</v>
      </c>
      <c r="B157" s="27" t="s">
        <v>633</v>
      </c>
      <c r="C157" s="28" t="s">
        <v>682</v>
      </c>
    </row>
    <row r="158" spans="1:3" hidden="1" x14ac:dyDescent="0.35">
      <c r="A158" s="27" t="s">
        <v>177</v>
      </c>
      <c r="B158" s="27" t="s">
        <v>633</v>
      </c>
      <c r="C158" s="28" t="s">
        <v>683</v>
      </c>
    </row>
    <row r="159" spans="1:3" ht="25" hidden="1" x14ac:dyDescent="0.35">
      <c r="A159" s="27" t="s">
        <v>177</v>
      </c>
      <c r="B159" s="27" t="s">
        <v>633</v>
      </c>
      <c r="C159" s="28" t="s">
        <v>684</v>
      </c>
    </row>
    <row r="160" spans="1:3" hidden="1" x14ac:dyDescent="0.35">
      <c r="A160" s="27" t="s">
        <v>177</v>
      </c>
      <c r="B160" s="27" t="s">
        <v>630</v>
      </c>
      <c r="C160" s="28" t="s">
        <v>685</v>
      </c>
    </row>
    <row r="161" spans="1:3" hidden="1" x14ac:dyDescent="0.35">
      <c r="A161" s="27" t="s">
        <v>177</v>
      </c>
      <c r="B161" s="27" t="s">
        <v>646</v>
      </c>
      <c r="C161" s="28" t="s">
        <v>686</v>
      </c>
    </row>
    <row r="162" spans="1:3" ht="25" hidden="1" x14ac:dyDescent="0.35">
      <c r="A162" s="27" t="s">
        <v>177</v>
      </c>
      <c r="B162" s="27" t="s">
        <v>648</v>
      </c>
      <c r="C162" s="28" t="s">
        <v>687</v>
      </c>
    </row>
    <row r="163" spans="1:3" hidden="1" x14ac:dyDescent="0.35">
      <c r="A163" s="27" t="s">
        <v>177</v>
      </c>
      <c r="B163" s="27" t="s">
        <v>648</v>
      </c>
      <c r="C163" s="28" t="s">
        <v>686</v>
      </c>
    </row>
    <row r="164" spans="1:3" ht="25" hidden="1" x14ac:dyDescent="0.35">
      <c r="A164" s="27" t="s">
        <v>179</v>
      </c>
      <c r="B164" s="27" t="s">
        <v>612</v>
      </c>
      <c r="C164" s="28" t="s">
        <v>678</v>
      </c>
    </row>
    <row r="165" spans="1:3" hidden="1" x14ac:dyDescent="0.35">
      <c r="A165" s="27" t="s">
        <v>179</v>
      </c>
      <c r="B165" s="27" t="s">
        <v>612</v>
      </c>
      <c r="C165" s="28" t="s">
        <v>679</v>
      </c>
    </row>
    <row r="166" spans="1:3" hidden="1" x14ac:dyDescent="0.35">
      <c r="A166" s="27" t="s">
        <v>179</v>
      </c>
      <c r="B166" s="27" t="s">
        <v>622</v>
      </c>
      <c r="C166" s="28" t="s">
        <v>679</v>
      </c>
    </row>
    <row r="167" spans="1:3" hidden="1" x14ac:dyDescent="0.35">
      <c r="A167" s="27" t="s">
        <v>179</v>
      </c>
      <c r="B167" s="27" t="s">
        <v>623</v>
      </c>
      <c r="C167" s="28" t="s">
        <v>679</v>
      </c>
    </row>
    <row r="168" spans="1:3" hidden="1" x14ac:dyDescent="0.35">
      <c r="A168" s="27" t="s">
        <v>179</v>
      </c>
      <c r="B168" s="27" t="s">
        <v>680</v>
      </c>
      <c r="C168" s="28" t="s">
        <v>681</v>
      </c>
    </row>
    <row r="169" spans="1:3" ht="25" hidden="1" x14ac:dyDescent="0.35">
      <c r="A169" s="27" t="s">
        <v>179</v>
      </c>
      <c r="B169" s="27" t="s">
        <v>633</v>
      </c>
      <c r="C169" s="28" t="s">
        <v>682</v>
      </c>
    </row>
    <row r="170" spans="1:3" hidden="1" x14ac:dyDescent="0.35">
      <c r="A170" s="27" t="s">
        <v>179</v>
      </c>
      <c r="B170" s="27" t="s">
        <v>633</v>
      </c>
      <c r="C170" s="28" t="s">
        <v>683</v>
      </c>
    </row>
    <row r="171" spans="1:3" ht="25" hidden="1" x14ac:dyDescent="0.35">
      <c r="A171" s="27" t="s">
        <v>179</v>
      </c>
      <c r="B171" s="27" t="s">
        <v>633</v>
      </c>
      <c r="C171" s="28" t="s">
        <v>684</v>
      </c>
    </row>
    <row r="172" spans="1:3" hidden="1" x14ac:dyDescent="0.35">
      <c r="A172" s="27" t="s">
        <v>179</v>
      </c>
      <c r="B172" s="27" t="s">
        <v>630</v>
      </c>
      <c r="C172" s="28" t="s">
        <v>685</v>
      </c>
    </row>
    <row r="173" spans="1:3" hidden="1" x14ac:dyDescent="0.35">
      <c r="A173" s="27" t="s">
        <v>179</v>
      </c>
      <c r="B173" s="27" t="s">
        <v>646</v>
      </c>
      <c r="C173" s="28" t="s">
        <v>686</v>
      </c>
    </row>
    <row r="174" spans="1:3" ht="25" hidden="1" x14ac:dyDescent="0.35">
      <c r="A174" s="27" t="s">
        <v>179</v>
      </c>
      <c r="B174" s="27" t="s">
        <v>648</v>
      </c>
      <c r="C174" s="28" t="s">
        <v>687</v>
      </c>
    </row>
    <row r="175" spans="1:3" hidden="1" x14ac:dyDescent="0.35">
      <c r="A175" s="27" t="s">
        <v>179</v>
      </c>
      <c r="B175" s="27" t="s">
        <v>648</v>
      </c>
      <c r="C175" s="28" t="s">
        <v>686</v>
      </c>
    </row>
    <row r="176" spans="1:3" ht="25" hidden="1" x14ac:dyDescent="0.35">
      <c r="A176" s="27" t="s">
        <v>181</v>
      </c>
      <c r="B176" s="27" t="s">
        <v>612</v>
      </c>
      <c r="C176" s="28" t="s">
        <v>678</v>
      </c>
    </row>
    <row r="177" spans="1:3" hidden="1" x14ac:dyDescent="0.35">
      <c r="A177" s="27" t="s">
        <v>181</v>
      </c>
      <c r="B177" s="27" t="s">
        <v>612</v>
      </c>
      <c r="C177" s="28" t="s">
        <v>679</v>
      </c>
    </row>
    <row r="178" spans="1:3" hidden="1" x14ac:dyDescent="0.35">
      <c r="A178" s="27" t="s">
        <v>181</v>
      </c>
      <c r="B178" s="27" t="s">
        <v>622</v>
      </c>
      <c r="C178" s="28" t="s">
        <v>679</v>
      </c>
    </row>
    <row r="179" spans="1:3" hidden="1" x14ac:dyDescent="0.35">
      <c r="A179" s="27" t="s">
        <v>181</v>
      </c>
      <c r="B179" s="27" t="s">
        <v>623</v>
      </c>
      <c r="C179" s="28" t="s">
        <v>679</v>
      </c>
    </row>
    <row r="180" spans="1:3" hidden="1" x14ac:dyDescent="0.35">
      <c r="A180" s="27" t="s">
        <v>181</v>
      </c>
      <c r="B180" s="27" t="s">
        <v>680</v>
      </c>
      <c r="C180" s="28" t="s">
        <v>681</v>
      </c>
    </row>
    <row r="181" spans="1:3" ht="25" hidden="1" x14ac:dyDescent="0.35">
      <c r="A181" s="27" t="s">
        <v>181</v>
      </c>
      <c r="B181" s="27" t="s">
        <v>633</v>
      </c>
      <c r="C181" s="28" t="s">
        <v>682</v>
      </c>
    </row>
    <row r="182" spans="1:3" hidden="1" x14ac:dyDescent="0.35">
      <c r="A182" s="27" t="s">
        <v>181</v>
      </c>
      <c r="B182" s="27" t="s">
        <v>633</v>
      </c>
      <c r="C182" s="28" t="s">
        <v>683</v>
      </c>
    </row>
    <row r="183" spans="1:3" ht="25" hidden="1" x14ac:dyDescent="0.35">
      <c r="A183" s="27" t="s">
        <v>181</v>
      </c>
      <c r="B183" s="27" t="s">
        <v>633</v>
      </c>
      <c r="C183" s="28" t="s">
        <v>684</v>
      </c>
    </row>
    <row r="184" spans="1:3" hidden="1" x14ac:dyDescent="0.35">
      <c r="A184" s="27" t="s">
        <v>181</v>
      </c>
      <c r="B184" s="27" t="s">
        <v>630</v>
      </c>
      <c r="C184" s="28" t="s">
        <v>685</v>
      </c>
    </row>
    <row r="185" spans="1:3" hidden="1" x14ac:dyDescent="0.35">
      <c r="A185" s="27" t="s">
        <v>181</v>
      </c>
      <c r="B185" s="27" t="s">
        <v>646</v>
      </c>
      <c r="C185" s="28" t="s">
        <v>686</v>
      </c>
    </row>
    <row r="186" spans="1:3" ht="25" hidden="1" x14ac:dyDescent="0.35">
      <c r="A186" s="27" t="s">
        <v>181</v>
      </c>
      <c r="B186" s="27" t="s">
        <v>648</v>
      </c>
      <c r="C186" s="28" t="s">
        <v>687</v>
      </c>
    </row>
    <row r="187" spans="1:3" hidden="1" x14ac:dyDescent="0.35">
      <c r="A187" s="27" t="s">
        <v>181</v>
      </c>
      <c r="B187" s="27" t="s">
        <v>648</v>
      </c>
      <c r="C187" s="28" t="s">
        <v>686</v>
      </c>
    </row>
    <row r="188" spans="1:3" ht="25" hidden="1" x14ac:dyDescent="0.35">
      <c r="A188" s="27" t="s">
        <v>183</v>
      </c>
      <c r="B188" s="27" t="s">
        <v>612</v>
      </c>
      <c r="C188" s="28" t="s">
        <v>678</v>
      </c>
    </row>
    <row r="189" spans="1:3" hidden="1" x14ac:dyDescent="0.35">
      <c r="A189" s="27" t="s">
        <v>183</v>
      </c>
      <c r="B189" s="27" t="s">
        <v>612</v>
      </c>
      <c r="C189" s="28" t="s">
        <v>679</v>
      </c>
    </row>
    <row r="190" spans="1:3" hidden="1" x14ac:dyDescent="0.35">
      <c r="A190" s="27" t="s">
        <v>183</v>
      </c>
      <c r="B190" s="27" t="s">
        <v>622</v>
      </c>
      <c r="C190" s="28" t="s">
        <v>679</v>
      </c>
    </row>
    <row r="191" spans="1:3" hidden="1" x14ac:dyDescent="0.35">
      <c r="A191" s="27" t="s">
        <v>183</v>
      </c>
      <c r="B191" s="27" t="s">
        <v>623</v>
      </c>
      <c r="C191" s="28" t="s">
        <v>679</v>
      </c>
    </row>
    <row r="192" spans="1:3" hidden="1" x14ac:dyDescent="0.35">
      <c r="A192" s="27" t="s">
        <v>183</v>
      </c>
      <c r="B192" s="27" t="s">
        <v>680</v>
      </c>
      <c r="C192" s="28" t="s">
        <v>681</v>
      </c>
    </row>
    <row r="193" spans="1:3" hidden="1" x14ac:dyDescent="0.35">
      <c r="A193" s="27" t="s">
        <v>183</v>
      </c>
      <c r="B193" s="27" t="s">
        <v>633</v>
      </c>
      <c r="C193" s="28" t="s">
        <v>634</v>
      </c>
    </row>
    <row r="194" spans="1:3" ht="25" hidden="1" x14ac:dyDescent="0.35">
      <c r="A194" s="27" t="s">
        <v>183</v>
      </c>
      <c r="B194" s="27" t="s">
        <v>633</v>
      </c>
      <c r="C194" s="28" t="s">
        <v>682</v>
      </c>
    </row>
    <row r="195" spans="1:3" hidden="1" x14ac:dyDescent="0.35">
      <c r="A195" s="27" t="s">
        <v>183</v>
      </c>
      <c r="B195" s="27" t="s">
        <v>633</v>
      </c>
      <c r="C195" s="28" t="s">
        <v>683</v>
      </c>
    </row>
    <row r="196" spans="1:3" ht="25" hidden="1" x14ac:dyDescent="0.35">
      <c r="A196" s="27" t="s">
        <v>183</v>
      </c>
      <c r="B196" s="27" t="s">
        <v>633</v>
      </c>
      <c r="C196" s="28" t="s">
        <v>684</v>
      </c>
    </row>
    <row r="197" spans="1:3" hidden="1" x14ac:dyDescent="0.35">
      <c r="A197" s="27" t="s">
        <v>183</v>
      </c>
      <c r="B197" s="27" t="s">
        <v>630</v>
      </c>
      <c r="C197" s="28" t="s">
        <v>685</v>
      </c>
    </row>
    <row r="198" spans="1:3" hidden="1" x14ac:dyDescent="0.35">
      <c r="A198" s="27" t="s">
        <v>183</v>
      </c>
      <c r="B198" s="27" t="s">
        <v>646</v>
      </c>
      <c r="C198" s="28" t="s">
        <v>686</v>
      </c>
    </row>
    <row r="199" spans="1:3" ht="25" hidden="1" x14ac:dyDescent="0.35">
      <c r="A199" s="27" t="s">
        <v>183</v>
      </c>
      <c r="B199" s="27" t="s">
        <v>648</v>
      </c>
      <c r="C199" s="28" t="s">
        <v>687</v>
      </c>
    </row>
    <row r="200" spans="1:3" hidden="1" x14ac:dyDescent="0.35">
      <c r="A200" s="27" t="s">
        <v>183</v>
      </c>
      <c r="B200" s="27" t="s">
        <v>648</v>
      </c>
      <c r="C200" s="28" t="s">
        <v>686</v>
      </c>
    </row>
    <row r="201" spans="1:3" hidden="1" x14ac:dyDescent="0.35">
      <c r="A201" s="27" t="s">
        <v>185</v>
      </c>
      <c r="B201" s="27" t="s">
        <v>633</v>
      </c>
      <c r="C201" s="28" t="s">
        <v>634</v>
      </c>
    </row>
    <row r="202" spans="1:3" hidden="1" x14ac:dyDescent="0.35">
      <c r="A202" s="27" t="s">
        <v>187</v>
      </c>
      <c r="B202" s="27" t="s">
        <v>633</v>
      </c>
      <c r="C202" s="28" t="s">
        <v>634</v>
      </c>
    </row>
    <row r="203" spans="1:3" hidden="1" x14ac:dyDescent="0.35">
      <c r="A203" s="27" t="s">
        <v>189</v>
      </c>
      <c r="B203" s="27" t="s">
        <v>618</v>
      </c>
      <c r="C203" s="28"/>
    </row>
    <row r="204" spans="1:3" hidden="1" x14ac:dyDescent="0.35">
      <c r="A204" s="27" t="s">
        <v>189</v>
      </c>
      <c r="B204" s="27" t="s">
        <v>641</v>
      </c>
      <c r="C204" s="28"/>
    </row>
    <row r="205" spans="1:3" hidden="1" x14ac:dyDescent="0.35">
      <c r="A205" s="27" t="s">
        <v>189</v>
      </c>
      <c r="B205" s="27" t="s">
        <v>633</v>
      </c>
      <c r="C205" s="28" t="s">
        <v>634</v>
      </c>
    </row>
    <row r="206" spans="1:3" hidden="1" x14ac:dyDescent="0.35">
      <c r="A206" s="27" t="s">
        <v>191</v>
      </c>
      <c r="B206" s="27" t="s">
        <v>618</v>
      </c>
      <c r="C206" s="28"/>
    </row>
    <row r="207" spans="1:3" hidden="1" x14ac:dyDescent="0.35">
      <c r="A207" s="27" t="s">
        <v>191</v>
      </c>
      <c r="B207" s="27" t="s">
        <v>641</v>
      </c>
      <c r="C207" s="28"/>
    </row>
    <row r="208" spans="1:3" hidden="1" x14ac:dyDescent="0.35">
      <c r="A208" s="27" t="s">
        <v>191</v>
      </c>
      <c r="B208" s="27" t="s">
        <v>633</v>
      </c>
      <c r="C208" s="28" t="s">
        <v>634</v>
      </c>
    </row>
    <row r="209" spans="1:3" hidden="1" x14ac:dyDescent="0.35">
      <c r="A209" s="27" t="s">
        <v>193</v>
      </c>
      <c r="B209" s="27" t="s">
        <v>633</v>
      </c>
      <c r="C209" s="28" t="s">
        <v>634</v>
      </c>
    </row>
    <row r="210" spans="1:3" hidden="1" x14ac:dyDescent="0.35">
      <c r="A210" s="27" t="s">
        <v>193</v>
      </c>
      <c r="B210" s="27" t="s">
        <v>640</v>
      </c>
      <c r="C210" s="28"/>
    </row>
    <row r="211" spans="1:3" hidden="1" x14ac:dyDescent="0.35">
      <c r="A211" s="27" t="s">
        <v>195</v>
      </c>
      <c r="B211" s="27" t="s">
        <v>633</v>
      </c>
      <c r="C211" s="28" t="s">
        <v>634</v>
      </c>
    </row>
    <row r="212" spans="1:3" hidden="1" x14ac:dyDescent="0.35">
      <c r="A212" s="27" t="s">
        <v>197</v>
      </c>
      <c r="B212" s="27" t="s">
        <v>633</v>
      </c>
      <c r="C212" s="28" t="s">
        <v>634</v>
      </c>
    </row>
    <row r="213" spans="1:3" hidden="1" x14ac:dyDescent="0.35">
      <c r="A213" s="27" t="s">
        <v>199</v>
      </c>
      <c r="B213" s="27" t="s">
        <v>633</v>
      </c>
      <c r="C213" s="28" t="s">
        <v>634</v>
      </c>
    </row>
    <row r="214" spans="1:3" hidden="1" x14ac:dyDescent="0.35">
      <c r="A214" s="27" t="s">
        <v>201</v>
      </c>
      <c r="B214" s="27" t="s">
        <v>633</v>
      </c>
      <c r="C214" s="28" t="s">
        <v>634</v>
      </c>
    </row>
    <row r="215" spans="1:3" hidden="1" x14ac:dyDescent="0.35">
      <c r="A215" s="27" t="s">
        <v>203</v>
      </c>
      <c r="B215" s="27" t="s">
        <v>633</v>
      </c>
      <c r="C215" s="28" t="s">
        <v>634</v>
      </c>
    </row>
    <row r="216" spans="1:3" hidden="1" x14ac:dyDescent="0.35">
      <c r="A216" s="27" t="s">
        <v>203</v>
      </c>
      <c r="B216" s="27" t="s">
        <v>630</v>
      </c>
      <c r="C216" s="28"/>
    </row>
    <row r="217" spans="1:3" hidden="1" x14ac:dyDescent="0.35">
      <c r="A217" s="27" t="s">
        <v>204</v>
      </c>
      <c r="B217" s="27" t="s">
        <v>629</v>
      </c>
      <c r="C217" s="28"/>
    </row>
    <row r="218" spans="1:3" hidden="1" x14ac:dyDescent="0.35">
      <c r="A218" s="27" t="s">
        <v>205</v>
      </c>
      <c r="B218" s="27" t="s">
        <v>633</v>
      </c>
      <c r="C218" s="28" t="s">
        <v>634</v>
      </c>
    </row>
    <row r="219" spans="1:3" hidden="1" x14ac:dyDescent="0.35">
      <c r="A219" s="27" t="s">
        <v>205</v>
      </c>
      <c r="B219" s="27" t="s">
        <v>630</v>
      </c>
      <c r="C219" s="28"/>
    </row>
    <row r="220" spans="1:3" hidden="1" x14ac:dyDescent="0.35">
      <c r="A220" s="27" t="s">
        <v>206</v>
      </c>
      <c r="B220" s="27" t="s">
        <v>631</v>
      </c>
      <c r="C220" s="28"/>
    </row>
    <row r="221" spans="1:3" hidden="1" x14ac:dyDescent="0.35">
      <c r="A221" s="27" t="s">
        <v>206</v>
      </c>
      <c r="B221" s="27" t="s">
        <v>633</v>
      </c>
      <c r="C221" s="28" t="s">
        <v>634</v>
      </c>
    </row>
    <row r="222" spans="1:3" hidden="1" x14ac:dyDescent="0.35">
      <c r="A222" s="27" t="s">
        <v>207</v>
      </c>
      <c r="B222" s="27" t="s">
        <v>629</v>
      </c>
      <c r="C222" s="28"/>
    </row>
    <row r="223" spans="1:3" hidden="1" x14ac:dyDescent="0.35">
      <c r="A223" s="27" t="s">
        <v>208</v>
      </c>
      <c r="B223" s="27" t="s">
        <v>633</v>
      </c>
      <c r="C223" s="28" t="s">
        <v>634</v>
      </c>
    </row>
    <row r="224" spans="1:3" hidden="1" x14ac:dyDescent="0.35">
      <c r="A224" s="27" t="s">
        <v>208</v>
      </c>
      <c r="B224" s="27" t="s">
        <v>630</v>
      </c>
      <c r="C224" s="28"/>
    </row>
    <row r="225" spans="1:3" hidden="1" x14ac:dyDescent="0.35">
      <c r="A225" s="27" t="s">
        <v>210</v>
      </c>
      <c r="B225" s="27" t="s">
        <v>632</v>
      </c>
      <c r="C225" s="28"/>
    </row>
    <row r="226" spans="1:3" hidden="1" x14ac:dyDescent="0.35">
      <c r="A226" s="27" t="s">
        <v>210</v>
      </c>
      <c r="B226" s="27" t="s">
        <v>633</v>
      </c>
      <c r="C226" s="28" t="s">
        <v>634</v>
      </c>
    </row>
    <row r="227" spans="1:3" hidden="1" x14ac:dyDescent="0.35">
      <c r="A227" s="27" t="s">
        <v>211</v>
      </c>
      <c r="B227" s="27" t="s">
        <v>633</v>
      </c>
      <c r="C227" s="28" t="s">
        <v>634</v>
      </c>
    </row>
    <row r="228" spans="1:3" hidden="1" x14ac:dyDescent="0.35">
      <c r="A228" s="27" t="s">
        <v>211</v>
      </c>
      <c r="B228" s="27" t="s">
        <v>630</v>
      </c>
      <c r="C228" s="28"/>
    </row>
    <row r="229" spans="1:3" hidden="1" x14ac:dyDescent="0.35">
      <c r="A229" s="27" t="s">
        <v>213</v>
      </c>
      <c r="B229" s="27" t="s">
        <v>632</v>
      </c>
      <c r="C229" s="28"/>
    </row>
    <row r="230" spans="1:3" hidden="1" x14ac:dyDescent="0.35">
      <c r="A230" s="27" t="s">
        <v>213</v>
      </c>
      <c r="B230" s="27" t="s">
        <v>633</v>
      </c>
      <c r="C230" s="28" t="s">
        <v>634</v>
      </c>
    </row>
    <row r="231" spans="1:3" hidden="1" x14ac:dyDescent="0.35">
      <c r="A231" s="27" t="s">
        <v>214</v>
      </c>
      <c r="B231" s="27" t="s">
        <v>633</v>
      </c>
      <c r="C231" s="28" t="s">
        <v>634</v>
      </c>
    </row>
    <row r="232" spans="1:3" hidden="1" x14ac:dyDescent="0.35">
      <c r="A232" s="27" t="s">
        <v>214</v>
      </c>
      <c r="B232" s="27" t="s">
        <v>630</v>
      </c>
      <c r="C232" s="28"/>
    </row>
    <row r="233" spans="1:3" hidden="1" x14ac:dyDescent="0.35">
      <c r="A233" s="27" t="s">
        <v>216</v>
      </c>
      <c r="B233" s="27" t="s">
        <v>633</v>
      </c>
      <c r="C233" s="28" t="s">
        <v>634</v>
      </c>
    </row>
    <row r="234" spans="1:3" hidden="1" x14ac:dyDescent="0.35">
      <c r="A234" s="27" t="s">
        <v>216</v>
      </c>
      <c r="B234" s="27" t="s">
        <v>630</v>
      </c>
      <c r="C234" s="28"/>
    </row>
    <row r="235" spans="1:3" hidden="1" x14ac:dyDescent="0.35">
      <c r="A235" s="27" t="s">
        <v>217</v>
      </c>
      <c r="B235" s="27" t="s">
        <v>633</v>
      </c>
      <c r="C235" s="28" t="s">
        <v>634</v>
      </c>
    </row>
    <row r="236" spans="1:3" hidden="1" x14ac:dyDescent="0.35">
      <c r="A236" s="27" t="s">
        <v>217</v>
      </c>
      <c r="B236" s="27" t="s">
        <v>630</v>
      </c>
      <c r="C236" s="28"/>
    </row>
    <row r="237" spans="1:3" hidden="1" x14ac:dyDescent="0.35">
      <c r="A237" s="27" t="s">
        <v>218</v>
      </c>
      <c r="B237" s="27" t="s">
        <v>633</v>
      </c>
      <c r="C237" s="28" t="s">
        <v>634</v>
      </c>
    </row>
    <row r="238" spans="1:3" hidden="1" x14ac:dyDescent="0.35">
      <c r="A238" s="27" t="s">
        <v>218</v>
      </c>
      <c r="B238" s="27" t="s">
        <v>630</v>
      </c>
      <c r="C238" s="28"/>
    </row>
    <row r="239" spans="1:3" x14ac:dyDescent="0.35">
      <c r="A239" s="27" t="s">
        <v>220</v>
      </c>
      <c r="B239" s="27" t="s">
        <v>614</v>
      </c>
      <c r="C239" s="28" t="s">
        <v>625</v>
      </c>
    </row>
    <row r="240" spans="1:3" hidden="1" x14ac:dyDescent="0.35">
      <c r="A240" s="27" t="s">
        <v>220</v>
      </c>
      <c r="B240" s="27" t="s">
        <v>688</v>
      </c>
      <c r="C240" s="28"/>
    </row>
    <row r="241" spans="1:3" x14ac:dyDescent="0.35">
      <c r="A241" s="27" t="s">
        <v>223</v>
      </c>
      <c r="B241" s="27" t="s">
        <v>614</v>
      </c>
      <c r="C241" s="28" t="s">
        <v>625</v>
      </c>
    </row>
    <row r="242" spans="1:3" x14ac:dyDescent="0.35">
      <c r="A242" s="27" t="s">
        <v>223</v>
      </c>
      <c r="B242" s="27" t="s">
        <v>614</v>
      </c>
      <c r="C242" s="28" t="s">
        <v>689</v>
      </c>
    </row>
    <row r="243" spans="1:3" hidden="1" x14ac:dyDescent="0.35">
      <c r="A243" s="27" t="s">
        <v>223</v>
      </c>
      <c r="B243" s="27" t="s">
        <v>688</v>
      </c>
      <c r="C243" s="28"/>
    </row>
    <row r="244" spans="1:3" hidden="1" x14ac:dyDescent="0.35">
      <c r="A244" s="27" t="s">
        <v>224</v>
      </c>
      <c r="B244" s="27" t="s">
        <v>656</v>
      </c>
      <c r="C244" s="28" t="s">
        <v>690</v>
      </c>
    </row>
    <row r="245" spans="1:3" hidden="1" x14ac:dyDescent="0.35">
      <c r="A245" s="27" t="s">
        <v>224</v>
      </c>
      <c r="B245" s="27" t="s">
        <v>691</v>
      </c>
      <c r="C245" s="28" t="s">
        <v>692</v>
      </c>
    </row>
    <row r="246" spans="1:3" hidden="1" x14ac:dyDescent="0.35">
      <c r="A246" s="27" t="s">
        <v>224</v>
      </c>
      <c r="B246" s="27" t="s">
        <v>657</v>
      </c>
      <c r="C246" s="28" t="s">
        <v>690</v>
      </c>
    </row>
    <row r="247" spans="1:3" hidden="1" x14ac:dyDescent="0.35">
      <c r="A247" s="27" t="s">
        <v>226</v>
      </c>
      <c r="B247" s="27" t="s">
        <v>656</v>
      </c>
      <c r="C247" s="28" t="s">
        <v>690</v>
      </c>
    </row>
    <row r="248" spans="1:3" hidden="1" x14ac:dyDescent="0.35">
      <c r="A248" s="27" t="s">
        <v>226</v>
      </c>
      <c r="B248" s="27" t="s">
        <v>691</v>
      </c>
      <c r="C248" s="28" t="s">
        <v>692</v>
      </c>
    </row>
    <row r="249" spans="1:3" hidden="1" x14ac:dyDescent="0.35">
      <c r="A249" s="27" t="s">
        <v>226</v>
      </c>
      <c r="B249" s="27" t="s">
        <v>657</v>
      </c>
      <c r="C249" s="28" t="s">
        <v>690</v>
      </c>
    </row>
    <row r="250" spans="1:3" hidden="1" x14ac:dyDescent="0.35">
      <c r="A250" s="27" t="s">
        <v>228</v>
      </c>
      <c r="B250" s="27" t="s">
        <v>656</v>
      </c>
      <c r="C250" s="28" t="s">
        <v>690</v>
      </c>
    </row>
    <row r="251" spans="1:3" hidden="1" x14ac:dyDescent="0.35">
      <c r="A251" s="27" t="s">
        <v>228</v>
      </c>
      <c r="B251" s="27" t="s">
        <v>691</v>
      </c>
      <c r="C251" s="28" t="s">
        <v>692</v>
      </c>
    </row>
    <row r="252" spans="1:3" hidden="1" x14ac:dyDescent="0.35">
      <c r="A252" s="27" t="s">
        <v>228</v>
      </c>
      <c r="B252" s="27" t="s">
        <v>657</v>
      </c>
      <c r="C252" s="28" t="s">
        <v>690</v>
      </c>
    </row>
    <row r="253" spans="1:3" hidden="1" x14ac:dyDescent="0.35">
      <c r="A253" s="27" t="s">
        <v>230</v>
      </c>
      <c r="B253" s="27" t="s">
        <v>656</v>
      </c>
      <c r="C253" s="28" t="s">
        <v>690</v>
      </c>
    </row>
    <row r="254" spans="1:3" hidden="1" x14ac:dyDescent="0.35">
      <c r="A254" s="27" t="s">
        <v>230</v>
      </c>
      <c r="B254" s="27" t="s">
        <v>691</v>
      </c>
      <c r="C254" s="28" t="s">
        <v>692</v>
      </c>
    </row>
    <row r="255" spans="1:3" hidden="1" x14ac:dyDescent="0.35">
      <c r="A255" s="27" t="s">
        <v>230</v>
      </c>
      <c r="B255" s="27" t="s">
        <v>657</v>
      </c>
      <c r="C255" s="28" t="s">
        <v>690</v>
      </c>
    </row>
    <row r="256" spans="1:3" hidden="1" x14ac:dyDescent="0.35">
      <c r="A256" s="27" t="s">
        <v>230</v>
      </c>
      <c r="B256" s="27" t="s">
        <v>630</v>
      </c>
      <c r="C256" s="28"/>
    </row>
    <row r="257" spans="1:3" x14ac:dyDescent="0.35">
      <c r="A257" s="27" t="s">
        <v>231</v>
      </c>
      <c r="B257" s="27" t="s">
        <v>614</v>
      </c>
      <c r="C257" s="28" t="s">
        <v>625</v>
      </c>
    </row>
    <row r="258" spans="1:3" hidden="1" x14ac:dyDescent="0.35">
      <c r="A258" s="27" t="s">
        <v>231</v>
      </c>
      <c r="B258" s="27" t="s">
        <v>688</v>
      </c>
      <c r="C258" s="28"/>
    </row>
    <row r="259" spans="1:3" x14ac:dyDescent="0.35">
      <c r="A259" s="27" t="s">
        <v>233</v>
      </c>
      <c r="B259" s="27" t="s">
        <v>614</v>
      </c>
      <c r="C259" s="28" t="s">
        <v>625</v>
      </c>
    </row>
    <row r="260" spans="1:3" hidden="1" x14ac:dyDescent="0.35">
      <c r="A260" s="27" t="s">
        <v>233</v>
      </c>
      <c r="B260" s="27" t="s">
        <v>688</v>
      </c>
      <c r="C260" s="28"/>
    </row>
    <row r="261" spans="1:3" x14ac:dyDescent="0.35">
      <c r="A261" s="27" t="s">
        <v>235</v>
      </c>
      <c r="B261" s="27" t="s">
        <v>614</v>
      </c>
      <c r="C261" s="28" t="s">
        <v>625</v>
      </c>
    </row>
    <row r="262" spans="1:3" hidden="1" x14ac:dyDescent="0.35">
      <c r="A262" s="27" t="s">
        <v>235</v>
      </c>
      <c r="B262" s="27" t="s">
        <v>688</v>
      </c>
      <c r="C262" s="28"/>
    </row>
    <row r="263" spans="1:3" x14ac:dyDescent="0.35">
      <c r="A263" s="27" t="s">
        <v>237</v>
      </c>
      <c r="B263" s="27" t="s">
        <v>614</v>
      </c>
      <c r="C263" s="28" t="s">
        <v>625</v>
      </c>
    </row>
    <row r="264" spans="1:3" hidden="1" x14ac:dyDescent="0.35">
      <c r="A264" s="27" t="s">
        <v>237</v>
      </c>
      <c r="B264" s="27" t="s">
        <v>688</v>
      </c>
      <c r="C264" s="28"/>
    </row>
    <row r="265" spans="1:3" hidden="1" x14ac:dyDescent="0.35">
      <c r="A265" s="27" t="s">
        <v>239</v>
      </c>
      <c r="B265" s="27" t="s">
        <v>629</v>
      </c>
      <c r="C265" s="28"/>
    </row>
    <row r="266" spans="1:3" hidden="1" x14ac:dyDescent="0.35">
      <c r="A266" s="27" t="s">
        <v>239</v>
      </c>
      <c r="B266" s="27" t="s">
        <v>630</v>
      </c>
      <c r="C266" s="28" t="s">
        <v>693</v>
      </c>
    </row>
    <row r="267" spans="1:3" hidden="1" x14ac:dyDescent="0.35">
      <c r="A267" s="27" t="s">
        <v>240</v>
      </c>
      <c r="B267" s="27" t="s">
        <v>631</v>
      </c>
      <c r="C267" s="28"/>
    </row>
    <row r="268" spans="1:3" hidden="1" x14ac:dyDescent="0.35">
      <c r="A268" s="27" t="s">
        <v>240</v>
      </c>
      <c r="B268" s="27" t="s">
        <v>629</v>
      </c>
      <c r="C268" s="28"/>
    </row>
    <row r="269" spans="1:3" hidden="1" x14ac:dyDescent="0.35">
      <c r="A269" s="27" t="s">
        <v>240</v>
      </c>
      <c r="B269" s="27" t="s">
        <v>630</v>
      </c>
      <c r="C269" s="28" t="s">
        <v>693</v>
      </c>
    </row>
    <row r="270" spans="1:3" hidden="1" x14ac:dyDescent="0.35">
      <c r="A270" s="27" t="s">
        <v>241</v>
      </c>
      <c r="B270" s="27" t="s">
        <v>629</v>
      </c>
      <c r="C270" s="28"/>
    </row>
    <row r="271" spans="1:3" hidden="1" x14ac:dyDescent="0.35">
      <c r="A271" s="27" t="s">
        <v>241</v>
      </c>
      <c r="B271" s="27" t="s">
        <v>630</v>
      </c>
      <c r="C271" s="28" t="s">
        <v>693</v>
      </c>
    </row>
    <row r="272" spans="1:3" hidden="1" x14ac:dyDescent="0.35">
      <c r="A272" s="27" t="s">
        <v>242</v>
      </c>
      <c r="B272" s="27" t="s">
        <v>629</v>
      </c>
      <c r="C272" s="28"/>
    </row>
    <row r="273" spans="1:3" hidden="1" x14ac:dyDescent="0.35">
      <c r="A273" s="27" t="s">
        <v>242</v>
      </c>
      <c r="B273" s="27" t="s">
        <v>630</v>
      </c>
      <c r="C273" s="28" t="s">
        <v>693</v>
      </c>
    </row>
    <row r="274" spans="1:3" hidden="1" x14ac:dyDescent="0.35">
      <c r="A274" s="27" t="s">
        <v>243</v>
      </c>
      <c r="B274" s="27" t="s">
        <v>631</v>
      </c>
      <c r="C274" s="28"/>
    </row>
    <row r="275" spans="1:3" hidden="1" x14ac:dyDescent="0.35">
      <c r="A275" s="27" t="s">
        <v>243</v>
      </c>
      <c r="B275" s="27" t="s">
        <v>629</v>
      </c>
      <c r="C275" s="28"/>
    </row>
    <row r="276" spans="1:3" hidden="1" x14ac:dyDescent="0.35">
      <c r="A276" s="27" t="s">
        <v>243</v>
      </c>
      <c r="B276" s="27" t="s">
        <v>630</v>
      </c>
      <c r="C276" s="28" t="s">
        <v>693</v>
      </c>
    </row>
    <row r="277" spans="1:3" hidden="1" x14ac:dyDescent="0.35">
      <c r="A277" s="27" t="s">
        <v>244</v>
      </c>
      <c r="B277" s="27" t="s">
        <v>632</v>
      </c>
      <c r="C277" s="28"/>
    </row>
    <row r="278" spans="1:3" hidden="1" x14ac:dyDescent="0.35">
      <c r="A278" s="27" t="s">
        <v>244</v>
      </c>
      <c r="B278" s="27" t="s">
        <v>656</v>
      </c>
      <c r="C278" s="28" t="s">
        <v>690</v>
      </c>
    </row>
    <row r="279" spans="1:3" hidden="1" x14ac:dyDescent="0.35">
      <c r="A279" s="27" t="s">
        <v>244</v>
      </c>
      <c r="B279" s="27" t="s">
        <v>691</v>
      </c>
      <c r="C279" s="28" t="s">
        <v>692</v>
      </c>
    </row>
    <row r="280" spans="1:3" hidden="1" x14ac:dyDescent="0.35">
      <c r="A280" s="27" t="s">
        <v>244</v>
      </c>
      <c r="B280" s="27" t="s">
        <v>657</v>
      </c>
      <c r="C280" s="28" t="s">
        <v>690</v>
      </c>
    </row>
    <row r="281" spans="1:3" hidden="1" x14ac:dyDescent="0.35">
      <c r="A281" s="27" t="s">
        <v>245</v>
      </c>
      <c r="B281" s="27" t="s">
        <v>694</v>
      </c>
      <c r="C281" s="28"/>
    </row>
    <row r="282" spans="1:3" hidden="1" x14ac:dyDescent="0.35">
      <c r="A282" s="27" t="s">
        <v>245</v>
      </c>
      <c r="B282" s="27" t="s">
        <v>691</v>
      </c>
      <c r="C282" s="28" t="s">
        <v>692</v>
      </c>
    </row>
    <row r="283" spans="1:3" hidden="1" x14ac:dyDescent="0.35">
      <c r="A283" s="27" t="s">
        <v>247</v>
      </c>
      <c r="B283" s="27" t="s">
        <v>694</v>
      </c>
      <c r="C283" s="28"/>
    </row>
    <row r="284" spans="1:3" hidden="1" x14ac:dyDescent="0.35">
      <c r="A284" s="27" t="s">
        <v>247</v>
      </c>
      <c r="B284" s="27" t="s">
        <v>691</v>
      </c>
      <c r="C284" s="28" t="s">
        <v>692</v>
      </c>
    </row>
    <row r="285" spans="1:3" hidden="1" x14ac:dyDescent="0.35">
      <c r="A285" s="27" t="s">
        <v>248</v>
      </c>
      <c r="B285" s="27" t="s">
        <v>629</v>
      </c>
      <c r="C285" s="28"/>
    </row>
    <row r="286" spans="1:3" hidden="1" x14ac:dyDescent="0.35">
      <c r="A286" s="27" t="s">
        <v>248</v>
      </c>
      <c r="B286" s="27" t="s">
        <v>694</v>
      </c>
      <c r="C286" s="28" t="s">
        <v>695</v>
      </c>
    </row>
    <row r="287" spans="1:3" hidden="1" x14ac:dyDescent="0.35">
      <c r="A287" s="27" t="s">
        <v>250</v>
      </c>
      <c r="B287" s="27" t="s">
        <v>629</v>
      </c>
      <c r="C287" s="28"/>
    </row>
    <row r="288" spans="1:3" hidden="1" x14ac:dyDescent="0.35">
      <c r="A288" s="27" t="s">
        <v>250</v>
      </c>
      <c r="B288" s="27" t="s">
        <v>694</v>
      </c>
      <c r="C288" s="28" t="s">
        <v>695</v>
      </c>
    </row>
    <row r="289" spans="1:3" hidden="1" x14ac:dyDescent="0.35">
      <c r="A289" s="27" t="s">
        <v>252</v>
      </c>
      <c r="B289" s="27" t="s">
        <v>629</v>
      </c>
      <c r="C289" s="28" t="s">
        <v>696</v>
      </c>
    </row>
    <row r="290" spans="1:3" hidden="1" x14ac:dyDescent="0.35">
      <c r="A290" s="27" t="s">
        <v>252</v>
      </c>
      <c r="B290" s="27" t="s">
        <v>630</v>
      </c>
      <c r="C290" s="28"/>
    </row>
    <row r="291" spans="1:3" hidden="1" x14ac:dyDescent="0.35">
      <c r="A291" s="27" t="s">
        <v>254</v>
      </c>
      <c r="B291" s="27" t="s">
        <v>694</v>
      </c>
      <c r="C291" s="28" t="s">
        <v>695</v>
      </c>
    </row>
    <row r="292" spans="1:3" hidden="1" x14ac:dyDescent="0.35">
      <c r="A292" s="27" t="s">
        <v>254</v>
      </c>
      <c r="B292" s="27" t="s">
        <v>630</v>
      </c>
      <c r="C292" s="28"/>
    </row>
    <row r="293" spans="1:3" hidden="1" x14ac:dyDescent="0.35">
      <c r="A293" s="27" t="s">
        <v>256</v>
      </c>
      <c r="B293" s="27" t="s">
        <v>630</v>
      </c>
      <c r="C293" s="28"/>
    </row>
    <row r="294" spans="1:3" hidden="1" x14ac:dyDescent="0.35">
      <c r="A294" s="27" t="s">
        <v>258</v>
      </c>
      <c r="B294" s="27" t="s">
        <v>640</v>
      </c>
      <c r="C294" s="28"/>
    </row>
    <row r="295" spans="1:3" hidden="1" x14ac:dyDescent="0.35">
      <c r="A295" s="27" t="s">
        <v>258</v>
      </c>
      <c r="B295" s="27" t="s">
        <v>697</v>
      </c>
      <c r="C295" s="28"/>
    </row>
    <row r="296" spans="1:3" hidden="1" x14ac:dyDescent="0.35">
      <c r="A296" s="27" t="s">
        <v>261</v>
      </c>
      <c r="B296" s="27" t="s">
        <v>640</v>
      </c>
      <c r="C296" s="28"/>
    </row>
    <row r="297" spans="1:3" hidden="1" x14ac:dyDescent="0.35">
      <c r="A297" s="27" t="s">
        <v>261</v>
      </c>
      <c r="B297" s="27" t="s">
        <v>697</v>
      </c>
      <c r="C297" s="28"/>
    </row>
    <row r="298" spans="1:3" hidden="1" x14ac:dyDescent="0.35">
      <c r="A298" s="27" t="s">
        <v>263</v>
      </c>
      <c r="B298" s="27" t="s">
        <v>640</v>
      </c>
      <c r="C298" s="28"/>
    </row>
    <row r="299" spans="1:3" hidden="1" x14ac:dyDescent="0.35">
      <c r="A299" s="27" t="s">
        <v>263</v>
      </c>
      <c r="B299" s="27" t="s">
        <v>697</v>
      </c>
      <c r="C299" s="28"/>
    </row>
    <row r="300" spans="1:3" hidden="1" x14ac:dyDescent="0.35">
      <c r="A300" s="27" t="s">
        <v>265</v>
      </c>
      <c r="B300" s="27" t="s">
        <v>640</v>
      </c>
      <c r="C300" s="28"/>
    </row>
    <row r="301" spans="1:3" hidden="1" x14ac:dyDescent="0.35">
      <c r="A301" s="27" t="s">
        <v>265</v>
      </c>
      <c r="B301" s="27" t="s">
        <v>697</v>
      </c>
      <c r="C301" s="28"/>
    </row>
    <row r="302" spans="1:3" hidden="1" x14ac:dyDescent="0.35">
      <c r="A302" s="27" t="s">
        <v>267</v>
      </c>
      <c r="B302" s="27" t="s">
        <v>630</v>
      </c>
      <c r="C302" s="28"/>
    </row>
    <row r="303" spans="1:3" hidden="1" x14ac:dyDescent="0.35">
      <c r="A303" s="27" t="s">
        <v>267</v>
      </c>
      <c r="B303" s="27" t="s">
        <v>640</v>
      </c>
      <c r="C303" s="28"/>
    </row>
    <row r="304" spans="1:3" hidden="1" x14ac:dyDescent="0.35">
      <c r="A304" s="27" t="s">
        <v>267</v>
      </c>
      <c r="B304" s="27" t="s">
        <v>697</v>
      </c>
      <c r="C304" s="28"/>
    </row>
    <row r="305" spans="1:3" x14ac:dyDescent="0.35">
      <c r="A305" s="27" t="s">
        <v>269</v>
      </c>
      <c r="B305" s="27" t="s">
        <v>614</v>
      </c>
      <c r="C305" s="28" t="s">
        <v>698</v>
      </c>
    </row>
    <row r="306" spans="1:3" hidden="1" x14ac:dyDescent="0.35">
      <c r="A306" s="27" t="s">
        <v>269</v>
      </c>
      <c r="B306" s="27" t="s">
        <v>691</v>
      </c>
      <c r="C306" s="28" t="s">
        <v>699</v>
      </c>
    </row>
    <row r="307" spans="1:3" hidden="1" x14ac:dyDescent="0.35">
      <c r="A307" s="27" t="s">
        <v>269</v>
      </c>
      <c r="B307" s="27" t="s">
        <v>700</v>
      </c>
      <c r="C307" s="28" t="s">
        <v>699</v>
      </c>
    </row>
    <row r="308" spans="1:3" x14ac:dyDescent="0.35">
      <c r="A308" s="27" t="s">
        <v>272</v>
      </c>
      <c r="B308" s="27" t="s">
        <v>614</v>
      </c>
      <c r="C308" s="28" t="s">
        <v>701</v>
      </c>
    </row>
    <row r="309" spans="1:3" hidden="1" x14ac:dyDescent="0.35">
      <c r="A309" s="27" t="s">
        <v>272</v>
      </c>
      <c r="B309" s="27" t="s">
        <v>630</v>
      </c>
      <c r="C309" s="28"/>
    </row>
    <row r="310" spans="1:3" hidden="1" x14ac:dyDescent="0.35">
      <c r="A310" s="27" t="s">
        <v>272</v>
      </c>
      <c r="B310" s="27" t="s">
        <v>700</v>
      </c>
      <c r="C310" s="28" t="s">
        <v>702</v>
      </c>
    </row>
    <row r="311" spans="1:3" x14ac:dyDescent="0.35">
      <c r="A311" s="27" t="s">
        <v>275</v>
      </c>
      <c r="B311" s="27" t="s">
        <v>614</v>
      </c>
      <c r="C311" s="28" t="s">
        <v>625</v>
      </c>
    </row>
    <row r="312" spans="1:3" x14ac:dyDescent="0.35">
      <c r="A312" s="27" t="s">
        <v>275</v>
      </c>
      <c r="B312" s="27" t="s">
        <v>614</v>
      </c>
      <c r="C312" s="28" t="s">
        <v>701</v>
      </c>
    </row>
    <row r="313" spans="1:3" hidden="1" x14ac:dyDescent="0.35">
      <c r="A313" s="27" t="s">
        <v>275</v>
      </c>
      <c r="B313" s="27" t="s">
        <v>630</v>
      </c>
      <c r="C313" s="28"/>
    </row>
    <row r="314" spans="1:3" hidden="1" x14ac:dyDescent="0.35">
      <c r="A314" s="27" t="s">
        <v>275</v>
      </c>
      <c r="B314" s="27" t="s">
        <v>700</v>
      </c>
      <c r="C314" s="28" t="s">
        <v>702</v>
      </c>
    </row>
    <row r="315" spans="1:3" x14ac:dyDescent="0.35">
      <c r="A315" s="27" t="s">
        <v>276</v>
      </c>
      <c r="B315" s="27" t="s">
        <v>614</v>
      </c>
      <c r="C315" s="28" t="s">
        <v>701</v>
      </c>
    </row>
    <row r="316" spans="1:3" hidden="1" x14ac:dyDescent="0.35">
      <c r="A316" s="27" t="s">
        <v>276</v>
      </c>
      <c r="B316" s="27" t="s">
        <v>630</v>
      </c>
      <c r="C316" s="28"/>
    </row>
    <row r="317" spans="1:3" hidden="1" x14ac:dyDescent="0.35">
      <c r="A317" s="27" t="s">
        <v>276</v>
      </c>
      <c r="B317" s="27" t="s">
        <v>700</v>
      </c>
      <c r="C317" s="28" t="s">
        <v>702</v>
      </c>
    </row>
    <row r="318" spans="1:3" x14ac:dyDescent="0.35">
      <c r="A318" s="27" t="s">
        <v>278</v>
      </c>
      <c r="B318" s="27" t="s">
        <v>614</v>
      </c>
      <c r="C318" s="28" t="s">
        <v>701</v>
      </c>
    </row>
    <row r="319" spans="1:3" hidden="1" x14ac:dyDescent="0.35">
      <c r="A319" s="27" t="s">
        <v>278</v>
      </c>
      <c r="B319" s="27" t="s">
        <v>630</v>
      </c>
      <c r="C319" s="28"/>
    </row>
    <row r="320" spans="1:3" hidden="1" x14ac:dyDescent="0.35">
      <c r="A320" s="27" t="s">
        <v>278</v>
      </c>
      <c r="B320" s="27" t="s">
        <v>700</v>
      </c>
      <c r="C320" s="28" t="s">
        <v>702</v>
      </c>
    </row>
    <row r="321" spans="1:3" x14ac:dyDescent="0.35">
      <c r="A321" s="27" t="s">
        <v>280</v>
      </c>
      <c r="B321" s="27" t="s">
        <v>614</v>
      </c>
      <c r="C321" s="28" t="s">
        <v>701</v>
      </c>
    </row>
    <row r="322" spans="1:3" hidden="1" x14ac:dyDescent="0.35">
      <c r="A322" s="27" t="s">
        <v>280</v>
      </c>
      <c r="B322" s="27" t="s">
        <v>630</v>
      </c>
      <c r="C322" s="28"/>
    </row>
    <row r="323" spans="1:3" hidden="1" x14ac:dyDescent="0.35">
      <c r="A323" s="27" t="s">
        <v>280</v>
      </c>
      <c r="B323" s="27" t="s">
        <v>700</v>
      </c>
      <c r="C323" s="28" t="s">
        <v>702</v>
      </c>
    </row>
    <row r="324" spans="1:3" x14ac:dyDescent="0.35">
      <c r="A324" s="27" t="s">
        <v>282</v>
      </c>
      <c r="B324" s="27" t="s">
        <v>614</v>
      </c>
      <c r="C324" s="28" t="s">
        <v>703</v>
      </c>
    </row>
    <row r="325" spans="1:3" hidden="1" x14ac:dyDescent="0.35">
      <c r="A325" s="27" t="s">
        <v>282</v>
      </c>
      <c r="B325" s="27" t="s">
        <v>691</v>
      </c>
      <c r="C325" s="28" t="s">
        <v>699</v>
      </c>
    </row>
    <row r="326" spans="1:3" hidden="1" x14ac:dyDescent="0.35">
      <c r="A326" s="27" t="s">
        <v>282</v>
      </c>
      <c r="B326" s="27" t="s">
        <v>630</v>
      </c>
      <c r="C326" s="28"/>
    </row>
    <row r="327" spans="1:3" hidden="1" x14ac:dyDescent="0.35">
      <c r="A327" s="27" t="s">
        <v>282</v>
      </c>
      <c r="B327" s="27" t="s">
        <v>700</v>
      </c>
      <c r="C327" s="28" t="s">
        <v>699</v>
      </c>
    </row>
    <row r="328" spans="1:3" hidden="1" x14ac:dyDescent="0.35">
      <c r="A328" s="27" t="s">
        <v>284</v>
      </c>
      <c r="B328" s="27" t="s">
        <v>704</v>
      </c>
      <c r="C328" s="28" t="s">
        <v>705</v>
      </c>
    </row>
    <row r="329" spans="1:3" hidden="1" x14ac:dyDescent="0.35">
      <c r="A329" s="27" t="s">
        <v>286</v>
      </c>
      <c r="B329" s="27" t="s">
        <v>618</v>
      </c>
      <c r="C329" s="28"/>
    </row>
    <row r="330" spans="1:3" x14ac:dyDescent="0.35">
      <c r="A330" s="27" t="s">
        <v>287</v>
      </c>
      <c r="B330" s="27" t="s">
        <v>614</v>
      </c>
      <c r="C330" s="28" t="s">
        <v>625</v>
      </c>
    </row>
    <row r="331" spans="1:3" hidden="1" x14ac:dyDescent="0.35">
      <c r="A331" s="27" t="s">
        <v>288</v>
      </c>
      <c r="B331" s="27" t="s">
        <v>618</v>
      </c>
      <c r="C331" s="28"/>
    </row>
    <row r="332" spans="1:3" hidden="1" x14ac:dyDescent="0.35">
      <c r="A332" s="27" t="s">
        <v>288</v>
      </c>
      <c r="B332" s="27" t="s">
        <v>704</v>
      </c>
      <c r="C332" s="28" t="s">
        <v>705</v>
      </c>
    </row>
    <row r="333" spans="1:3" x14ac:dyDescent="0.35">
      <c r="A333" s="27" t="s">
        <v>290</v>
      </c>
      <c r="B333" s="27" t="s">
        <v>614</v>
      </c>
      <c r="C333" s="28" t="s">
        <v>706</v>
      </c>
    </row>
    <row r="334" spans="1:3" x14ac:dyDescent="0.35">
      <c r="A334" s="27" t="s">
        <v>292</v>
      </c>
      <c r="B334" s="27" t="s">
        <v>614</v>
      </c>
      <c r="C334" s="28" t="s">
        <v>707</v>
      </c>
    </row>
    <row r="335" spans="1:3" hidden="1" x14ac:dyDescent="0.35">
      <c r="A335" s="27" t="s">
        <v>293</v>
      </c>
      <c r="B335" s="27" t="s">
        <v>708</v>
      </c>
      <c r="C335" s="28"/>
    </row>
    <row r="336" spans="1:3" hidden="1" x14ac:dyDescent="0.35">
      <c r="A336" s="27" t="s">
        <v>295</v>
      </c>
      <c r="B336" s="27" t="s">
        <v>704</v>
      </c>
      <c r="C336" s="28" t="s">
        <v>705</v>
      </c>
    </row>
    <row r="337" spans="1:3" hidden="1" x14ac:dyDescent="0.35">
      <c r="A337" s="27" t="s">
        <v>295</v>
      </c>
      <c r="B337" s="27" t="s">
        <v>708</v>
      </c>
      <c r="C337" s="28" t="s">
        <v>709</v>
      </c>
    </row>
    <row r="338" spans="1:3" hidden="1" x14ac:dyDescent="0.35">
      <c r="A338" s="27" t="s">
        <v>297</v>
      </c>
      <c r="B338" s="27" t="s">
        <v>618</v>
      </c>
      <c r="C338" s="28"/>
    </row>
    <row r="339" spans="1:3" hidden="1" x14ac:dyDescent="0.35">
      <c r="A339" s="27" t="s">
        <v>299</v>
      </c>
      <c r="B339" s="27" t="s">
        <v>708</v>
      </c>
      <c r="C339" s="28"/>
    </row>
    <row r="340" spans="1:3" hidden="1" x14ac:dyDescent="0.35">
      <c r="A340" s="27" t="s">
        <v>300</v>
      </c>
      <c r="B340" s="27" t="s">
        <v>704</v>
      </c>
      <c r="C340" s="28" t="s">
        <v>705</v>
      </c>
    </row>
    <row r="341" spans="1:3" hidden="1" x14ac:dyDescent="0.35">
      <c r="A341" s="27" t="s">
        <v>300</v>
      </c>
      <c r="B341" s="27" t="s">
        <v>708</v>
      </c>
      <c r="C341" s="28"/>
    </row>
    <row r="342" spans="1:3" hidden="1" x14ac:dyDescent="0.35">
      <c r="A342" s="27" t="s">
        <v>301</v>
      </c>
      <c r="B342" s="27" t="s">
        <v>710</v>
      </c>
      <c r="C342" s="28" t="s">
        <v>711</v>
      </c>
    </row>
    <row r="343" spans="1:3" hidden="1" x14ac:dyDescent="0.35">
      <c r="A343" s="27" t="s">
        <v>301</v>
      </c>
      <c r="B343" s="27" t="s">
        <v>712</v>
      </c>
      <c r="C343" s="28" t="s">
        <v>711</v>
      </c>
    </row>
    <row r="344" spans="1:3" hidden="1" x14ac:dyDescent="0.35">
      <c r="A344" s="27" t="s">
        <v>301</v>
      </c>
      <c r="B344" s="27" t="s">
        <v>713</v>
      </c>
      <c r="C344" s="28" t="s">
        <v>711</v>
      </c>
    </row>
    <row r="345" spans="1:3" hidden="1" x14ac:dyDescent="0.35">
      <c r="A345" s="27" t="s">
        <v>301</v>
      </c>
      <c r="B345" s="27" t="s">
        <v>714</v>
      </c>
      <c r="C345" s="28" t="s">
        <v>711</v>
      </c>
    </row>
    <row r="346" spans="1:3" hidden="1" x14ac:dyDescent="0.35">
      <c r="A346" s="27" t="s">
        <v>301</v>
      </c>
      <c r="B346" s="27" t="s">
        <v>704</v>
      </c>
      <c r="C346" s="28" t="s">
        <v>705</v>
      </c>
    </row>
    <row r="347" spans="1:3" hidden="1" x14ac:dyDescent="0.35">
      <c r="A347" s="27" t="s">
        <v>302</v>
      </c>
      <c r="B347" s="27" t="s">
        <v>626</v>
      </c>
      <c r="C347" s="28" t="s">
        <v>627</v>
      </c>
    </row>
    <row r="348" spans="1:3" hidden="1" x14ac:dyDescent="0.35">
      <c r="A348" s="27" t="s">
        <v>303</v>
      </c>
      <c r="B348" s="27" t="s">
        <v>626</v>
      </c>
      <c r="C348" s="28" t="s">
        <v>627</v>
      </c>
    </row>
    <row r="349" spans="1:3" hidden="1" x14ac:dyDescent="0.35">
      <c r="A349" s="27" t="s">
        <v>304</v>
      </c>
      <c r="B349" s="27" t="s">
        <v>710</v>
      </c>
      <c r="C349" s="28" t="s">
        <v>711</v>
      </c>
    </row>
    <row r="350" spans="1:3" hidden="1" x14ac:dyDescent="0.35">
      <c r="A350" s="27" t="s">
        <v>304</v>
      </c>
      <c r="B350" s="27" t="s">
        <v>712</v>
      </c>
      <c r="C350" s="28" t="s">
        <v>711</v>
      </c>
    </row>
    <row r="351" spans="1:3" hidden="1" x14ac:dyDescent="0.35">
      <c r="A351" s="27" t="s">
        <v>304</v>
      </c>
      <c r="B351" s="27" t="s">
        <v>713</v>
      </c>
      <c r="C351" s="28" t="s">
        <v>711</v>
      </c>
    </row>
    <row r="352" spans="1:3" hidden="1" x14ac:dyDescent="0.35">
      <c r="A352" s="27" t="s">
        <v>304</v>
      </c>
      <c r="B352" s="27" t="s">
        <v>714</v>
      </c>
      <c r="C352" s="28" t="s">
        <v>711</v>
      </c>
    </row>
    <row r="353" spans="1:3" hidden="1" x14ac:dyDescent="0.35">
      <c r="A353" s="27" t="s">
        <v>306</v>
      </c>
      <c r="B353" s="27" t="s">
        <v>710</v>
      </c>
      <c r="C353" s="28" t="s">
        <v>711</v>
      </c>
    </row>
    <row r="354" spans="1:3" hidden="1" x14ac:dyDescent="0.35">
      <c r="A354" s="27" t="s">
        <v>306</v>
      </c>
      <c r="B354" s="27" t="s">
        <v>712</v>
      </c>
      <c r="C354" s="28" t="s">
        <v>711</v>
      </c>
    </row>
    <row r="355" spans="1:3" hidden="1" x14ac:dyDescent="0.35">
      <c r="A355" s="27" t="s">
        <v>306</v>
      </c>
      <c r="B355" s="27" t="s">
        <v>713</v>
      </c>
      <c r="C355" s="28" t="s">
        <v>711</v>
      </c>
    </row>
    <row r="356" spans="1:3" hidden="1" x14ac:dyDescent="0.35">
      <c r="A356" s="27" t="s">
        <v>306</v>
      </c>
      <c r="B356" s="27" t="s">
        <v>714</v>
      </c>
      <c r="C356" s="28" t="s">
        <v>711</v>
      </c>
    </row>
    <row r="357" spans="1:3" hidden="1" x14ac:dyDescent="0.35">
      <c r="A357" s="27" t="s">
        <v>308</v>
      </c>
      <c r="B357" s="27" t="s">
        <v>626</v>
      </c>
      <c r="C357" s="28" t="s">
        <v>627</v>
      </c>
    </row>
    <row r="358" spans="1:3" hidden="1" x14ac:dyDescent="0.35">
      <c r="A358" s="27" t="s">
        <v>308</v>
      </c>
      <c r="B358" s="27" t="s">
        <v>630</v>
      </c>
      <c r="C358" s="28"/>
    </row>
    <row r="359" spans="1:3" hidden="1" x14ac:dyDescent="0.35">
      <c r="A359" s="27" t="s">
        <v>310</v>
      </c>
      <c r="B359" s="27" t="s">
        <v>715</v>
      </c>
      <c r="C359" s="28"/>
    </row>
    <row r="360" spans="1:3" hidden="1" x14ac:dyDescent="0.35">
      <c r="A360" s="27" t="s">
        <v>311</v>
      </c>
      <c r="B360" s="27" t="s">
        <v>715</v>
      </c>
      <c r="C360" s="28"/>
    </row>
    <row r="361" spans="1:3" hidden="1" x14ac:dyDescent="0.35">
      <c r="A361" s="27" t="s">
        <v>313</v>
      </c>
      <c r="B361" s="27" t="s">
        <v>626</v>
      </c>
      <c r="C361" s="28" t="s">
        <v>627</v>
      </c>
    </row>
    <row r="362" spans="1:3" hidden="1" x14ac:dyDescent="0.35">
      <c r="A362" s="27" t="s">
        <v>313</v>
      </c>
      <c r="B362" s="27" t="s">
        <v>630</v>
      </c>
      <c r="C362" s="28"/>
    </row>
    <row r="363" spans="1:3" hidden="1" x14ac:dyDescent="0.35">
      <c r="A363" s="27" t="s">
        <v>315</v>
      </c>
      <c r="B363" s="27" t="s">
        <v>626</v>
      </c>
      <c r="C363" s="28" t="s">
        <v>627</v>
      </c>
    </row>
    <row r="364" spans="1:3" hidden="1" x14ac:dyDescent="0.35">
      <c r="A364" s="27" t="s">
        <v>315</v>
      </c>
      <c r="B364" s="27" t="s">
        <v>630</v>
      </c>
      <c r="C364" s="28"/>
    </row>
    <row r="365" spans="1:3" hidden="1" x14ac:dyDescent="0.35">
      <c r="A365" s="27" t="s">
        <v>316</v>
      </c>
      <c r="B365" s="27" t="s">
        <v>626</v>
      </c>
      <c r="C365" s="28" t="s">
        <v>627</v>
      </c>
    </row>
    <row r="366" spans="1:3" hidden="1" x14ac:dyDescent="0.35">
      <c r="A366" s="27" t="s">
        <v>316</v>
      </c>
      <c r="B366" s="27" t="s">
        <v>630</v>
      </c>
      <c r="C366" s="28"/>
    </row>
    <row r="367" spans="1:3" hidden="1" x14ac:dyDescent="0.35">
      <c r="A367" s="27" t="s">
        <v>318</v>
      </c>
      <c r="B367" s="27" t="s">
        <v>715</v>
      </c>
      <c r="C367" s="28"/>
    </row>
    <row r="368" spans="1:3" hidden="1" x14ac:dyDescent="0.35">
      <c r="A368" s="27" t="s">
        <v>319</v>
      </c>
      <c r="B368" s="27" t="s">
        <v>631</v>
      </c>
      <c r="C368" s="28"/>
    </row>
    <row r="369" spans="1:3" hidden="1" x14ac:dyDescent="0.35">
      <c r="A369" s="27" t="s">
        <v>319</v>
      </c>
      <c r="B369" s="27" t="s">
        <v>626</v>
      </c>
      <c r="C369" s="28" t="s">
        <v>627</v>
      </c>
    </row>
    <row r="370" spans="1:3" hidden="1" x14ac:dyDescent="0.35">
      <c r="A370" s="27" t="s">
        <v>320</v>
      </c>
      <c r="B370" s="27" t="s">
        <v>715</v>
      </c>
      <c r="C370" s="28"/>
    </row>
    <row r="371" spans="1:3" hidden="1" x14ac:dyDescent="0.35">
      <c r="A371" s="27" t="s">
        <v>321</v>
      </c>
      <c r="B371" s="27" t="s">
        <v>715</v>
      </c>
      <c r="C371" s="28"/>
    </row>
    <row r="372" spans="1:3" hidden="1" x14ac:dyDescent="0.35">
      <c r="A372" s="27" t="s">
        <v>322</v>
      </c>
      <c r="B372" s="27" t="s">
        <v>632</v>
      </c>
      <c r="C372" s="28"/>
    </row>
    <row r="373" spans="1:3" hidden="1" x14ac:dyDescent="0.35">
      <c r="A373" s="27" t="s">
        <v>322</v>
      </c>
      <c r="B373" s="27" t="s">
        <v>626</v>
      </c>
      <c r="C373" s="28" t="s">
        <v>627</v>
      </c>
    </row>
    <row r="374" spans="1:3" hidden="1" x14ac:dyDescent="0.35">
      <c r="A374" s="27" t="s">
        <v>323</v>
      </c>
      <c r="B374" s="27" t="s">
        <v>626</v>
      </c>
      <c r="C374" s="28" t="s">
        <v>627</v>
      </c>
    </row>
    <row r="375" spans="1:3" hidden="1" x14ac:dyDescent="0.35">
      <c r="A375" s="27" t="s">
        <v>323</v>
      </c>
      <c r="B375" s="27" t="s">
        <v>630</v>
      </c>
      <c r="C375" s="28"/>
    </row>
    <row r="376" spans="1:3" hidden="1" x14ac:dyDescent="0.35">
      <c r="A376" s="27" t="s">
        <v>324</v>
      </c>
      <c r="B376" s="27" t="s">
        <v>632</v>
      </c>
      <c r="C376" s="28"/>
    </row>
    <row r="377" spans="1:3" hidden="1" x14ac:dyDescent="0.35">
      <c r="A377" s="27" t="s">
        <v>324</v>
      </c>
      <c r="B377" s="27" t="s">
        <v>626</v>
      </c>
      <c r="C377" s="28" t="s">
        <v>627</v>
      </c>
    </row>
    <row r="378" spans="1:3" hidden="1" x14ac:dyDescent="0.35">
      <c r="A378" s="27" t="s">
        <v>325</v>
      </c>
      <c r="B378" s="27" t="s">
        <v>626</v>
      </c>
      <c r="C378" s="28" t="s">
        <v>627</v>
      </c>
    </row>
    <row r="379" spans="1:3" hidden="1" x14ac:dyDescent="0.35">
      <c r="A379" s="27" t="s">
        <v>325</v>
      </c>
      <c r="B379" s="27" t="s">
        <v>630</v>
      </c>
      <c r="C379" s="28"/>
    </row>
    <row r="380" spans="1:3" hidden="1" x14ac:dyDescent="0.35">
      <c r="A380" s="27" t="s">
        <v>327</v>
      </c>
      <c r="B380" s="27" t="s">
        <v>715</v>
      </c>
      <c r="C380" s="28"/>
    </row>
    <row r="381" spans="1:3" hidden="1" x14ac:dyDescent="0.35">
      <c r="A381" s="27" t="s">
        <v>329</v>
      </c>
      <c r="B381" s="27" t="s">
        <v>626</v>
      </c>
      <c r="C381" s="28" t="s">
        <v>627</v>
      </c>
    </row>
    <row r="382" spans="1:3" hidden="1" x14ac:dyDescent="0.35">
      <c r="A382" s="27" t="s">
        <v>329</v>
      </c>
      <c r="B382" s="27" t="s">
        <v>630</v>
      </c>
      <c r="C382" s="28"/>
    </row>
    <row r="383" spans="1:3" hidden="1" x14ac:dyDescent="0.35">
      <c r="A383" s="27" t="s">
        <v>330</v>
      </c>
      <c r="B383" s="27" t="s">
        <v>633</v>
      </c>
      <c r="C383" s="28" t="s">
        <v>716</v>
      </c>
    </row>
    <row r="384" spans="1:3" hidden="1" x14ac:dyDescent="0.35">
      <c r="A384" s="27" t="s">
        <v>332</v>
      </c>
      <c r="B384" s="27" t="s">
        <v>717</v>
      </c>
      <c r="C384" s="28"/>
    </row>
    <row r="385" spans="1:3" hidden="1" x14ac:dyDescent="0.35">
      <c r="A385" s="27" t="s">
        <v>332</v>
      </c>
      <c r="B385" s="27" t="s">
        <v>718</v>
      </c>
      <c r="C385" s="28"/>
    </row>
    <row r="386" spans="1:3" hidden="1" x14ac:dyDescent="0.35">
      <c r="A386" s="27" t="s">
        <v>332</v>
      </c>
      <c r="B386" s="27" t="s">
        <v>633</v>
      </c>
      <c r="C386" s="28" t="s">
        <v>716</v>
      </c>
    </row>
    <row r="387" spans="1:3" hidden="1" x14ac:dyDescent="0.35">
      <c r="A387" s="27" t="s">
        <v>333</v>
      </c>
      <c r="B387" s="27" t="s">
        <v>717</v>
      </c>
      <c r="C387" s="28"/>
    </row>
    <row r="388" spans="1:3" hidden="1" x14ac:dyDescent="0.35">
      <c r="A388" s="27" t="s">
        <v>333</v>
      </c>
      <c r="B388" s="27" t="s">
        <v>718</v>
      </c>
      <c r="C388" s="28"/>
    </row>
    <row r="389" spans="1:3" hidden="1" x14ac:dyDescent="0.35">
      <c r="A389" s="27" t="s">
        <v>333</v>
      </c>
      <c r="B389" s="27" t="s">
        <v>633</v>
      </c>
      <c r="C389" s="28" t="s">
        <v>716</v>
      </c>
    </row>
    <row r="390" spans="1:3" hidden="1" x14ac:dyDescent="0.35">
      <c r="A390" s="27" t="s">
        <v>335</v>
      </c>
      <c r="B390" s="27" t="s">
        <v>717</v>
      </c>
      <c r="C390" s="28"/>
    </row>
    <row r="391" spans="1:3" hidden="1" x14ac:dyDescent="0.35">
      <c r="A391" s="27" t="s">
        <v>335</v>
      </c>
      <c r="B391" s="27" t="s">
        <v>718</v>
      </c>
      <c r="C391" s="28"/>
    </row>
    <row r="392" spans="1:3" hidden="1" x14ac:dyDescent="0.35">
      <c r="A392" s="27" t="s">
        <v>335</v>
      </c>
      <c r="B392" s="27" t="s">
        <v>633</v>
      </c>
      <c r="C392" s="28" t="s">
        <v>716</v>
      </c>
    </row>
    <row r="393" spans="1:3" hidden="1" x14ac:dyDescent="0.35">
      <c r="A393" s="27" t="s">
        <v>337</v>
      </c>
      <c r="B393" s="27" t="s">
        <v>633</v>
      </c>
      <c r="C393" s="28" t="s">
        <v>719</v>
      </c>
    </row>
    <row r="394" spans="1:3" hidden="1" x14ac:dyDescent="0.35">
      <c r="A394" s="27" t="s">
        <v>337</v>
      </c>
      <c r="B394" s="27" t="s">
        <v>630</v>
      </c>
      <c r="C394" s="28" t="s">
        <v>720</v>
      </c>
    </row>
    <row r="395" spans="1:3" hidden="1" x14ac:dyDescent="0.35">
      <c r="A395" s="27" t="s">
        <v>338</v>
      </c>
      <c r="B395" s="27" t="s">
        <v>633</v>
      </c>
      <c r="C395" s="28" t="s">
        <v>721</v>
      </c>
    </row>
    <row r="396" spans="1:3" hidden="1" x14ac:dyDescent="0.35">
      <c r="A396" s="27" t="s">
        <v>338</v>
      </c>
      <c r="B396" s="27" t="s">
        <v>630</v>
      </c>
      <c r="C396" s="28" t="s">
        <v>722</v>
      </c>
    </row>
    <row r="397" spans="1:3" hidden="1" x14ac:dyDescent="0.35">
      <c r="A397" s="27" t="s">
        <v>339</v>
      </c>
      <c r="B397" s="27" t="s">
        <v>642</v>
      </c>
      <c r="C397" s="28"/>
    </row>
    <row r="398" spans="1:3" hidden="1" x14ac:dyDescent="0.35">
      <c r="A398" s="27" t="s">
        <v>339</v>
      </c>
      <c r="B398" s="27" t="s">
        <v>633</v>
      </c>
      <c r="C398" s="28" t="s">
        <v>716</v>
      </c>
    </row>
    <row r="399" spans="1:3" x14ac:dyDescent="0.35">
      <c r="A399" s="27" t="s">
        <v>340</v>
      </c>
      <c r="B399" s="27" t="s">
        <v>614</v>
      </c>
      <c r="C399" s="28" t="s">
        <v>643</v>
      </c>
    </row>
    <row r="400" spans="1:3" x14ac:dyDescent="0.35">
      <c r="A400" s="27" t="s">
        <v>342</v>
      </c>
      <c r="B400" s="27" t="s">
        <v>614</v>
      </c>
      <c r="C400" s="28"/>
    </row>
    <row r="401" spans="1:3" hidden="1" x14ac:dyDescent="0.35">
      <c r="A401" s="27" t="s">
        <v>344</v>
      </c>
      <c r="B401" s="27" t="s">
        <v>710</v>
      </c>
      <c r="C401" s="28" t="s">
        <v>711</v>
      </c>
    </row>
    <row r="402" spans="1:3" hidden="1" x14ac:dyDescent="0.35">
      <c r="A402" s="27" t="s">
        <v>344</v>
      </c>
      <c r="B402" s="27" t="s">
        <v>712</v>
      </c>
      <c r="C402" s="28" t="s">
        <v>711</v>
      </c>
    </row>
    <row r="403" spans="1:3" hidden="1" x14ac:dyDescent="0.35">
      <c r="A403" s="27" t="s">
        <v>344</v>
      </c>
      <c r="B403" s="27" t="s">
        <v>713</v>
      </c>
      <c r="C403" s="28" t="s">
        <v>711</v>
      </c>
    </row>
    <row r="404" spans="1:3" hidden="1" x14ac:dyDescent="0.35">
      <c r="A404" s="27" t="s">
        <v>344</v>
      </c>
      <c r="B404" s="27" t="s">
        <v>714</v>
      </c>
      <c r="C404" s="28" t="s">
        <v>711</v>
      </c>
    </row>
    <row r="405" spans="1:3" hidden="1" x14ac:dyDescent="0.35">
      <c r="A405" s="27" t="s">
        <v>344</v>
      </c>
      <c r="B405" s="27" t="s">
        <v>704</v>
      </c>
      <c r="C405" s="28" t="s">
        <v>723</v>
      </c>
    </row>
    <row r="406" spans="1:3" hidden="1" x14ac:dyDescent="0.35">
      <c r="A406" s="27" t="s">
        <v>344</v>
      </c>
      <c r="B406" s="27" t="s">
        <v>633</v>
      </c>
      <c r="C406" s="28" t="s">
        <v>724</v>
      </c>
    </row>
    <row r="407" spans="1:3" hidden="1" x14ac:dyDescent="0.35">
      <c r="A407" s="27" t="s">
        <v>344</v>
      </c>
      <c r="B407" s="27" t="s">
        <v>648</v>
      </c>
      <c r="C407" s="28" t="s">
        <v>725</v>
      </c>
    </row>
    <row r="408" spans="1:3" hidden="1" x14ac:dyDescent="0.35">
      <c r="A408" s="27" t="s">
        <v>344</v>
      </c>
      <c r="B408" s="27" t="s">
        <v>648</v>
      </c>
      <c r="C408" s="28" t="s">
        <v>726</v>
      </c>
    </row>
    <row r="409" spans="1:3" hidden="1" x14ac:dyDescent="0.35">
      <c r="A409" s="27" t="s">
        <v>346</v>
      </c>
      <c r="B409" s="27" t="s">
        <v>641</v>
      </c>
      <c r="C409" s="28"/>
    </row>
    <row r="410" spans="1:3" hidden="1" x14ac:dyDescent="0.35">
      <c r="A410" s="27" t="s">
        <v>346</v>
      </c>
      <c r="B410" s="27" t="s">
        <v>641</v>
      </c>
      <c r="C410" s="28"/>
    </row>
    <row r="411" spans="1:3" hidden="1" x14ac:dyDescent="0.35">
      <c r="A411" s="27" t="s">
        <v>346</v>
      </c>
      <c r="B411" s="27" t="s">
        <v>633</v>
      </c>
      <c r="C411" s="28" t="s">
        <v>716</v>
      </c>
    </row>
    <row r="412" spans="1:3" hidden="1" x14ac:dyDescent="0.35">
      <c r="A412" s="27" t="s">
        <v>346</v>
      </c>
      <c r="B412" s="27" t="s">
        <v>633</v>
      </c>
      <c r="C412" s="28" t="s">
        <v>716</v>
      </c>
    </row>
    <row r="413" spans="1:3" hidden="1" x14ac:dyDescent="0.35">
      <c r="A413" s="27" t="s">
        <v>349</v>
      </c>
      <c r="B413" s="27" t="s">
        <v>650</v>
      </c>
      <c r="C413" s="28"/>
    </row>
    <row r="414" spans="1:3" hidden="1" x14ac:dyDescent="0.35">
      <c r="A414" s="27" t="s">
        <v>349</v>
      </c>
      <c r="B414" s="27" t="s">
        <v>633</v>
      </c>
      <c r="C414" s="28" t="s">
        <v>716</v>
      </c>
    </row>
    <row r="415" spans="1:3" hidden="1" x14ac:dyDescent="0.35">
      <c r="A415" s="27" t="s">
        <v>350</v>
      </c>
      <c r="B415" s="27" t="s">
        <v>633</v>
      </c>
      <c r="C415" s="28" t="s">
        <v>716</v>
      </c>
    </row>
    <row r="416" spans="1:3" x14ac:dyDescent="0.35">
      <c r="A416" s="27" t="s">
        <v>351</v>
      </c>
      <c r="B416" s="27" t="s">
        <v>614</v>
      </c>
      <c r="C416" s="28"/>
    </row>
    <row r="417" spans="1:3" hidden="1" x14ac:dyDescent="0.35">
      <c r="A417" s="27" t="s">
        <v>352</v>
      </c>
      <c r="B417" s="27" t="s">
        <v>659</v>
      </c>
      <c r="C417" s="28" t="s">
        <v>727</v>
      </c>
    </row>
    <row r="418" spans="1:3" hidden="1" x14ac:dyDescent="0.35">
      <c r="A418" s="27" t="s">
        <v>352</v>
      </c>
      <c r="B418" s="27" t="s">
        <v>633</v>
      </c>
      <c r="C418" s="28" t="s">
        <v>728</v>
      </c>
    </row>
    <row r="419" spans="1:3" hidden="1" x14ac:dyDescent="0.35">
      <c r="A419" s="27" t="s">
        <v>353</v>
      </c>
      <c r="B419" s="27" t="s">
        <v>633</v>
      </c>
      <c r="C419" s="28" t="s">
        <v>716</v>
      </c>
    </row>
    <row r="420" spans="1:3" hidden="1" x14ac:dyDescent="0.35">
      <c r="A420" s="27" t="s">
        <v>354</v>
      </c>
      <c r="B420" s="27" t="s">
        <v>715</v>
      </c>
      <c r="C420" s="28"/>
    </row>
    <row r="421" spans="1:3" hidden="1" x14ac:dyDescent="0.35">
      <c r="A421" s="27" t="s">
        <v>355</v>
      </c>
      <c r="B421" s="27" t="s">
        <v>650</v>
      </c>
      <c r="C421" s="28" t="s">
        <v>729</v>
      </c>
    </row>
    <row r="422" spans="1:3" hidden="1" x14ac:dyDescent="0.35">
      <c r="A422" s="27" t="s">
        <v>355</v>
      </c>
      <c r="B422" s="27" t="s">
        <v>633</v>
      </c>
      <c r="C422" s="28" t="s">
        <v>730</v>
      </c>
    </row>
    <row r="423" spans="1:3" hidden="1" x14ac:dyDescent="0.35">
      <c r="A423" s="27" t="s">
        <v>356</v>
      </c>
      <c r="B423" s="27" t="s">
        <v>650</v>
      </c>
      <c r="C423" s="28"/>
    </row>
    <row r="424" spans="1:3" hidden="1" x14ac:dyDescent="0.35">
      <c r="A424" s="27" t="s">
        <v>356</v>
      </c>
      <c r="B424" s="27" t="s">
        <v>650</v>
      </c>
      <c r="C424" s="28" t="s">
        <v>729</v>
      </c>
    </row>
    <row r="425" spans="1:3" hidden="1" x14ac:dyDescent="0.35">
      <c r="A425" s="27" t="s">
        <v>356</v>
      </c>
      <c r="B425" s="27" t="s">
        <v>633</v>
      </c>
      <c r="C425" s="28" t="s">
        <v>730</v>
      </c>
    </row>
    <row r="426" spans="1:3" hidden="1" x14ac:dyDescent="0.35">
      <c r="A426" s="27" t="s">
        <v>357</v>
      </c>
      <c r="B426" s="27" t="s">
        <v>633</v>
      </c>
      <c r="C426" s="28" t="s">
        <v>716</v>
      </c>
    </row>
    <row r="427" spans="1:3" hidden="1" x14ac:dyDescent="0.35">
      <c r="A427" s="27" t="s">
        <v>357</v>
      </c>
      <c r="B427" s="27" t="s">
        <v>630</v>
      </c>
      <c r="C427" s="28"/>
    </row>
    <row r="428" spans="1:3" hidden="1" x14ac:dyDescent="0.35">
      <c r="A428" s="27" t="s">
        <v>358</v>
      </c>
      <c r="B428" s="27" t="s">
        <v>633</v>
      </c>
      <c r="C428" s="28" t="s">
        <v>716</v>
      </c>
    </row>
    <row r="429" spans="1:3" hidden="1" x14ac:dyDescent="0.35">
      <c r="A429" s="27" t="s">
        <v>358</v>
      </c>
      <c r="B429" s="27" t="s">
        <v>630</v>
      </c>
      <c r="C429" s="28"/>
    </row>
    <row r="430" spans="1:3" hidden="1" x14ac:dyDescent="0.35">
      <c r="A430" s="27" t="s">
        <v>360</v>
      </c>
      <c r="B430" s="27" t="s">
        <v>633</v>
      </c>
      <c r="C430" s="28" t="s">
        <v>716</v>
      </c>
    </row>
    <row r="431" spans="1:3" hidden="1" x14ac:dyDescent="0.35">
      <c r="A431" s="27" t="s">
        <v>360</v>
      </c>
      <c r="B431" s="27" t="s">
        <v>630</v>
      </c>
      <c r="C431" s="28"/>
    </row>
    <row r="432" spans="1:3" hidden="1" x14ac:dyDescent="0.35">
      <c r="A432" s="27" t="s">
        <v>362</v>
      </c>
      <c r="B432" s="27" t="s">
        <v>704</v>
      </c>
      <c r="C432" s="28" t="s">
        <v>731</v>
      </c>
    </row>
    <row r="433" spans="1:3" hidden="1" x14ac:dyDescent="0.35">
      <c r="A433" s="27" t="s">
        <v>362</v>
      </c>
      <c r="B433" s="27" t="s">
        <v>633</v>
      </c>
      <c r="C433" s="28" t="s">
        <v>732</v>
      </c>
    </row>
    <row r="434" spans="1:3" ht="25" hidden="1" x14ac:dyDescent="0.35">
      <c r="A434" s="27" t="s">
        <v>362</v>
      </c>
      <c r="B434" s="27" t="s">
        <v>633</v>
      </c>
      <c r="C434" s="28" t="s">
        <v>733</v>
      </c>
    </row>
    <row r="435" spans="1:3" hidden="1" x14ac:dyDescent="0.35">
      <c r="A435" s="27" t="s">
        <v>362</v>
      </c>
      <c r="B435" s="27" t="s">
        <v>633</v>
      </c>
      <c r="C435" s="28" t="s">
        <v>734</v>
      </c>
    </row>
    <row r="436" spans="1:3" hidden="1" x14ac:dyDescent="0.35">
      <c r="A436" s="27" t="s">
        <v>362</v>
      </c>
      <c r="B436" s="27" t="s">
        <v>648</v>
      </c>
      <c r="C436" s="28" t="s">
        <v>735</v>
      </c>
    </row>
    <row r="437" spans="1:3" hidden="1" x14ac:dyDescent="0.35">
      <c r="A437" s="27" t="s">
        <v>362</v>
      </c>
      <c r="B437" s="27" t="s">
        <v>648</v>
      </c>
      <c r="C437" s="28" t="s">
        <v>736</v>
      </c>
    </row>
    <row r="438" spans="1:3" hidden="1" x14ac:dyDescent="0.35">
      <c r="A438" s="27" t="s">
        <v>364</v>
      </c>
      <c r="B438" s="27" t="s">
        <v>704</v>
      </c>
      <c r="C438" s="28" t="s">
        <v>731</v>
      </c>
    </row>
    <row r="439" spans="1:3" hidden="1" x14ac:dyDescent="0.35">
      <c r="A439" s="27" t="s">
        <v>364</v>
      </c>
      <c r="B439" s="27" t="s">
        <v>708</v>
      </c>
      <c r="C439" s="28" t="s">
        <v>737</v>
      </c>
    </row>
    <row r="440" spans="1:3" hidden="1" x14ac:dyDescent="0.35">
      <c r="A440" s="27" t="s">
        <v>364</v>
      </c>
      <c r="B440" s="27" t="s">
        <v>633</v>
      </c>
      <c r="C440" s="28" t="s">
        <v>732</v>
      </c>
    </row>
    <row r="441" spans="1:3" ht="25" hidden="1" x14ac:dyDescent="0.35">
      <c r="A441" s="27" t="s">
        <v>364</v>
      </c>
      <c r="B441" s="27" t="s">
        <v>633</v>
      </c>
      <c r="C441" s="28" t="s">
        <v>733</v>
      </c>
    </row>
    <row r="442" spans="1:3" hidden="1" x14ac:dyDescent="0.35">
      <c r="A442" s="27" t="s">
        <v>364</v>
      </c>
      <c r="B442" s="27" t="s">
        <v>633</v>
      </c>
      <c r="C442" s="28" t="s">
        <v>734</v>
      </c>
    </row>
    <row r="443" spans="1:3" hidden="1" x14ac:dyDescent="0.35">
      <c r="A443" s="27" t="s">
        <v>364</v>
      </c>
      <c r="B443" s="27" t="s">
        <v>648</v>
      </c>
      <c r="C443" s="28" t="s">
        <v>735</v>
      </c>
    </row>
    <row r="444" spans="1:3" hidden="1" x14ac:dyDescent="0.35">
      <c r="A444" s="27" t="s">
        <v>364</v>
      </c>
      <c r="B444" s="27" t="s">
        <v>648</v>
      </c>
      <c r="C444" s="28" t="s">
        <v>736</v>
      </c>
    </row>
    <row r="445" spans="1:3" hidden="1" x14ac:dyDescent="0.35">
      <c r="A445" s="27" t="s">
        <v>365</v>
      </c>
      <c r="B445" s="27" t="s">
        <v>704</v>
      </c>
      <c r="C445" s="28" t="s">
        <v>723</v>
      </c>
    </row>
    <row r="446" spans="1:3" hidden="1" x14ac:dyDescent="0.35">
      <c r="A446" s="27" t="s">
        <v>365</v>
      </c>
      <c r="B446" s="27" t="s">
        <v>708</v>
      </c>
      <c r="C446" s="28"/>
    </row>
    <row r="447" spans="1:3" hidden="1" x14ac:dyDescent="0.35">
      <c r="A447" s="27" t="s">
        <v>365</v>
      </c>
      <c r="B447" s="27" t="s">
        <v>633</v>
      </c>
      <c r="C447" s="28" t="s">
        <v>724</v>
      </c>
    </row>
    <row r="448" spans="1:3" hidden="1" x14ac:dyDescent="0.35">
      <c r="A448" s="27" t="s">
        <v>365</v>
      </c>
      <c r="B448" s="27" t="s">
        <v>648</v>
      </c>
      <c r="C448" s="28" t="s">
        <v>725</v>
      </c>
    </row>
    <row r="449" spans="1:3" hidden="1" x14ac:dyDescent="0.35">
      <c r="A449" s="27" t="s">
        <v>365</v>
      </c>
      <c r="B449" s="27" t="s">
        <v>648</v>
      </c>
      <c r="C449" s="28" t="s">
        <v>726</v>
      </c>
    </row>
    <row r="450" spans="1:3" hidden="1" x14ac:dyDescent="0.35">
      <c r="A450" s="27" t="s">
        <v>366</v>
      </c>
      <c r="B450" s="27" t="s">
        <v>704</v>
      </c>
      <c r="C450" s="28" t="s">
        <v>731</v>
      </c>
    </row>
    <row r="451" spans="1:3" hidden="1" x14ac:dyDescent="0.35">
      <c r="A451" s="27" t="s">
        <v>366</v>
      </c>
      <c r="B451" s="27" t="s">
        <v>708</v>
      </c>
      <c r="C451" s="28" t="s">
        <v>737</v>
      </c>
    </row>
    <row r="452" spans="1:3" hidden="1" x14ac:dyDescent="0.35">
      <c r="A452" s="27" t="s">
        <v>366</v>
      </c>
      <c r="B452" s="27" t="s">
        <v>633</v>
      </c>
      <c r="C452" s="28" t="s">
        <v>732</v>
      </c>
    </row>
    <row r="453" spans="1:3" ht="25" hidden="1" x14ac:dyDescent="0.35">
      <c r="A453" s="27" t="s">
        <v>366</v>
      </c>
      <c r="B453" s="27" t="s">
        <v>633</v>
      </c>
      <c r="C453" s="28" t="s">
        <v>733</v>
      </c>
    </row>
    <row r="454" spans="1:3" hidden="1" x14ac:dyDescent="0.35">
      <c r="A454" s="27" t="s">
        <v>366</v>
      </c>
      <c r="B454" s="27" t="s">
        <v>633</v>
      </c>
      <c r="C454" s="28" t="s">
        <v>734</v>
      </c>
    </row>
    <row r="455" spans="1:3" hidden="1" x14ac:dyDescent="0.35">
      <c r="A455" s="27" t="s">
        <v>366</v>
      </c>
      <c r="B455" s="27" t="s">
        <v>648</v>
      </c>
      <c r="C455" s="28" t="s">
        <v>735</v>
      </c>
    </row>
    <row r="456" spans="1:3" hidden="1" x14ac:dyDescent="0.35">
      <c r="A456" s="27" t="s">
        <v>366</v>
      </c>
      <c r="B456" s="27" t="s">
        <v>648</v>
      </c>
      <c r="C456" s="28" t="s">
        <v>736</v>
      </c>
    </row>
    <row r="457" spans="1:3" hidden="1" x14ac:dyDescent="0.35">
      <c r="A457" s="27" t="s">
        <v>367</v>
      </c>
      <c r="B457" s="27" t="s">
        <v>704</v>
      </c>
      <c r="C457" s="28" t="s">
        <v>731</v>
      </c>
    </row>
    <row r="458" spans="1:3" hidden="1" x14ac:dyDescent="0.35">
      <c r="A458" s="27" t="s">
        <v>367</v>
      </c>
      <c r="B458" s="27" t="s">
        <v>708</v>
      </c>
      <c r="C458" s="28" t="s">
        <v>737</v>
      </c>
    </row>
    <row r="459" spans="1:3" hidden="1" x14ac:dyDescent="0.35">
      <c r="A459" s="27" t="s">
        <v>367</v>
      </c>
      <c r="B459" s="27" t="s">
        <v>633</v>
      </c>
      <c r="C459" s="28" t="s">
        <v>732</v>
      </c>
    </row>
    <row r="460" spans="1:3" ht="25" hidden="1" x14ac:dyDescent="0.35">
      <c r="A460" s="27" t="s">
        <v>367</v>
      </c>
      <c r="B460" s="27" t="s">
        <v>633</v>
      </c>
      <c r="C460" s="28" t="s">
        <v>733</v>
      </c>
    </row>
    <row r="461" spans="1:3" hidden="1" x14ac:dyDescent="0.35">
      <c r="A461" s="27" t="s">
        <v>367</v>
      </c>
      <c r="B461" s="27" t="s">
        <v>633</v>
      </c>
      <c r="C461" s="28" t="s">
        <v>734</v>
      </c>
    </row>
    <row r="462" spans="1:3" hidden="1" x14ac:dyDescent="0.35">
      <c r="A462" s="27" t="s">
        <v>367</v>
      </c>
      <c r="B462" s="27" t="s">
        <v>648</v>
      </c>
      <c r="C462" s="28" t="s">
        <v>735</v>
      </c>
    </row>
    <row r="463" spans="1:3" hidden="1" x14ac:dyDescent="0.35">
      <c r="A463" s="27" t="s">
        <v>367</v>
      </c>
      <c r="B463" s="27" t="s">
        <v>648</v>
      </c>
      <c r="C463" s="28" t="s">
        <v>736</v>
      </c>
    </row>
    <row r="464" spans="1:3" hidden="1" x14ac:dyDescent="0.35">
      <c r="A464" s="27" t="s">
        <v>368</v>
      </c>
      <c r="B464" s="27" t="s">
        <v>704</v>
      </c>
      <c r="C464" s="28" t="s">
        <v>731</v>
      </c>
    </row>
    <row r="465" spans="1:3" hidden="1" x14ac:dyDescent="0.35">
      <c r="A465" s="27" t="s">
        <v>368</v>
      </c>
      <c r="B465" s="27" t="s">
        <v>708</v>
      </c>
      <c r="C465" s="28" t="s">
        <v>737</v>
      </c>
    </row>
    <row r="466" spans="1:3" hidden="1" x14ac:dyDescent="0.35">
      <c r="A466" s="27" t="s">
        <v>368</v>
      </c>
      <c r="B466" s="27" t="s">
        <v>633</v>
      </c>
      <c r="C466" s="28" t="s">
        <v>732</v>
      </c>
    </row>
    <row r="467" spans="1:3" ht="25" hidden="1" x14ac:dyDescent="0.35">
      <c r="A467" s="27" t="s">
        <v>368</v>
      </c>
      <c r="B467" s="27" t="s">
        <v>633</v>
      </c>
      <c r="C467" s="28" t="s">
        <v>733</v>
      </c>
    </row>
    <row r="468" spans="1:3" hidden="1" x14ac:dyDescent="0.35">
      <c r="A468" s="27" t="s">
        <v>368</v>
      </c>
      <c r="B468" s="27" t="s">
        <v>633</v>
      </c>
      <c r="C468" s="28" t="s">
        <v>734</v>
      </c>
    </row>
    <row r="469" spans="1:3" hidden="1" x14ac:dyDescent="0.35">
      <c r="A469" s="27" t="s">
        <v>368</v>
      </c>
      <c r="B469" s="27" t="s">
        <v>648</v>
      </c>
      <c r="C469" s="28" t="s">
        <v>735</v>
      </c>
    </row>
    <row r="470" spans="1:3" hidden="1" x14ac:dyDescent="0.35">
      <c r="A470" s="27" t="s">
        <v>368</v>
      </c>
      <c r="B470" s="27" t="s">
        <v>648</v>
      </c>
      <c r="C470" s="28" t="s">
        <v>736</v>
      </c>
    </row>
    <row r="471" spans="1:3" hidden="1" x14ac:dyDescent="0.35">
      <c r="A471" s="27" t="s">
        <v>370</v>
      </c>
      <c r="B471" s="27" t="s">
        <v>704</v>
      </c>
      <c r="C471" s="28" t="s">
        <v>731</v>
      </c>
    </row>
    <row r="472" spans="1:3" hidden="1" x14ac:dyDescent="0.35">
      <c r="A472" s="27" t="s">
        <v>370</v>
      </c>
      <c r="B472" s="27" t="s">
        <v>633</v>
      </c>
      <c r="C472" s="28" t="s">
        <v>732</v>
      </c>
    </row>
    <row r="473" spans="1:3" hidden="1" x14ac:dyDescent="0.35">
      <c r="A473" s="27" t="s">
        <v>370</v>
      </c>
      <c r="B473" s="27" t="s">
        <v>633</v>
      </c>
      <c r="C473" s="28" t="s">
        <v>716</v>
      </c>
    </row>
    <row r="474" spans="1:3" ht="25" hidden="1" x14ac:dyDescent="0.35">
      <c r="A474" s="27" t="s">
        <v>370</v>
      </c>
      <c r="B474" s="27" t="s">
        <v>633</v>
      </c>
      <c r="C474" s="28" t="s">
        <v>733</v>
      </c>
    </row>
    <row r="475" spans="1:3" hidden="1" x14ac:dyDescent="0.35">
      <c r="A475" s="27" t="s">
        <v>370</v>
      </c>
      <c r="B475" s="27" t="s">
        <v>633</v>
      </c>
      <c r="C475" s="28" t="s">
        <v>734</v>
      </c>
    </row>
    <row r="476" spans="1:3" hidden="1" x14ac:dyDescent="0.35">
      <c r="A476" s="27" t="s">
        <v>370</v>
      </c>
      <c r="B476" s="27" t="s">
        <v>648</v>
      </c>
      <c r="C476" s="28" t="s">
        <v>735</v>
      </c>
    </row>
    <row r="477" spans="1:3" hidden="1" x14ac:dyDescent="0.35">
      <c r="A477" s="27" t="s">
        <v>370</v>
      </c>
      <c r="B477" s="27" t="s">
        <v>648</v>
      </c>
      <c r="C477" s="28" t="s">
        <v>736</v>
      </c>
    </row>
    <row r="478" spans="1:3" hidden="1" x14ac:dyDescent="0.35">
      <c r="A478" s="27" t="s">
        <v>371</v>
      </c>
      <c r="B478" s="27" t="s">
        <v>633</v>
      </c>
      <c r="C478" s="28" t="s">
        <v>716</v>
      </c>
    </row>
    <row r="479" spans="1:3" hidden="1" x14ac:dyDescent="0.35">
      <c r="A479" s="27" t="s">
        <v>372</v>
      </c>
      <c r="B479" s="27" t="s">
        <v>618</v>
      </c>
      <c r="C479" s="28"/>
    </row>
    <row r="480" spans="1:3" hidden="1" x14ac:dyDescent="0.35">
      <c r="A480" s="27" t="s">
        <v>372</v>
      </c>
      <c r="B480" s="27" t="s">
        <v>641</v>
      </c>
      <c r="C480" s="28"/>
    </row>
    <row r="481" spans="1:3" hidden="1" x14ac:dyDescent="0.35">
      <c r="A481" s="27" t="s">
        <v>372</v>
      </c>
      <c r="B481" s="27" t="s">
        <v>633</v>
      </c>
      <c r="C481" s="28" t="s">
        <v>634</v>
      </c>
    </row>
    <row r="482" spans="1:3" hidden="1" x14ac:dyDescent="0.35">
      <c r="A482" s="27" t="s">
        <v>374</v>
      </c>
      <c r="B482" s="27" t="s">
        <v>618</v>
      </c>
      <c r="C482" s="28"/>
    </row>
    <row r="483" spans="1:3" hidden="1" x14ac:dyDescent="0.35">
      <c r="A483" s="27" t="s">
        <v>374</v>
      </c>
      <c r="B483" s="27" t="s">
        <v>641</v>
      </c>
      <c r="C483" s="28"/>
    </row>
    <row r="484" spans="1:3" hidden="1" x14ac:dyDescent="0.35">
      <c r="A484" s="27" t="s">
        <v>374</v>
      </c>
      <c r="B484" s="27" t="s">
        <v>633</v>
      </c>
      <c r="C484" s="28" t="s">
        <v>716</v>
      </c>
    </row>
    <row r="485" spans="1:3" hidden="1" x14ac:dyDescent="0.35">
      <c r="A485" s="27" t="s">
        <v>375</v>
      </c>
      <c r="B485" s="27" t="s">
        <v>641</v>
      </c>
      <c r="C485" s="28"/>
    </row>
    <row r="486" spans="1:3" hidden="1" x14ac:dyDescent="0.35">
      <c r="A486" s="27" t="s">
        <v>375</v>
      </c>
      <c r="B486" s="27" t="s">
        <v>633</v>
      </c>
      <c r="C486" s="28" t="s">
        <v>716</v>
      </c>
    </row>
    <row r="487" spans="1:3" hidden="1" x14ac:dyDescent="0.35">
      <c r="A487" s="27" t="s">
        <v>375</v>
      </c>
      <c r="B487" s="27" t="s">
        <v>640</v>
      </c>
      <c r="C487" s="28"/>
    </row>
    <row r="488" spans="1:3" hidden="1" x14ac:dyDescent="0.35">
      <c r="A488" s="27" t="s">
        <v>376</v>
      </c>
      <c r="B488" s="27" t="s">
        <v>633</v>
      </c>
      <c r="C488" s="28" t="s">
        <v>716</v>
      </c>
    </row>
    <row r="489" spans="1:3" hidden="1" x14ac:dyDescent="0.35">
      <c r="A489" s="27" t="s">
        <v>376</v>
      </c>
      <c r="B489" s="27" t="s">
        <v>640</v>
      </c>
      <c r="C489" s="28"/>
    </row>
    <row r="490" spans="1:3" hidden="1" x14ac:dyDescent="0.35">
      <c r="A490" s="27" t="s">
        <v>377</v>
      </c>
      <c r="B490" s="27" t="s">
        <v>633</v>
      </c>
      <c r="C490" s="28" t="s">
        <v>716</v>
      </c>
    </row>
    <row r="491" spans="1:3" hidden="1" x14ac:dyDescent="0.35">
      <c r="A491" s="27" t="s">
        <v>377</v>
      </c>
      <c r="B491" s="27" t="s">
        <v>640</v>
      </c>
      <c r="C491" s="28"/>
    </row>
    <row r="492" spans="1:3" hidden="1" x14ac:dyDescent="0.35">
      <c r="A492" s="27" t="s">
        <v>378</v>
      </c>
      <c r="B492" s="27" t="s">
        <v>633</v>
      </c>
      <c r="C492" s="28" t="s">
        <v>716</v>
      </c>
    </row>
    <row r="493" spans="1:3" hidden="1" x14ac:dyDescent="0.35">
      <c r="A493" s="27" t="s">
        <v>378</v>
      </c>
      <c r="B493" s="27" t="s">
        <v>630</v>
      </c>
      <c r="C493" s="28"/>
    </row>
    <row r="494" spans="1:3" hidden="1" x14ac:dyDescent="0.35">
      <c r="A494" s="27" t="s">
        <v>379</v>
      </c>
      <c r="B494" s="27" t="s">
        <v>631</v>
      </c>
      <c r="C494" s="28"/>
    </row>
    <row r="495" spans="1:3" hidden="1" x14ac:dyDescent="0.35">
      <c r="A495" s="27" t="s">
        <v>379</v>
      </c>
      <c r="B495" s="27" t="s">
        <v>633</v>
      </c>
      <c r="C495" s="28" t="s">
        <v>716</v>
      </c>
    </row>
    <row r="496" spans="1:3" hidden="1" x14ac:dyDescent="0.35">
      <c r="A496" s="27" t="s">
        <v>380</v>
      </c>
      <c r="B496" s="27" t="s">
        <v>715</v>
      </c>
      <c r="C496" s="28"/>
    </row>
    <row r="497" spans="1:3" hidden="1" x14ac:dyDescent="0.35">
      <c r="A497" s="27" t="s">
        <v>381</v>
      </c>
      <c r="B497" s="27" t="s">
        <v>633</v>
      </c>
      <c r="C497" s="28" t="s">
        <v>716</v>
      </c>
    </row>
    <row r="498" spans="1:3" hidden="1" x14ac:dyDescent="0.35">
      <c r="A498" s="27" t="s">
        <v>381</v>
      </c>
      <c r="B498" s="27" t="s">
        <v>630</v>
      </c>
      <c r="C498" s="28"/>
    </row>
    <row r="499" spans="1:3" hidden="1" x14ac:dyDescent="0.35">
      <c r="A499" s="27" t="s">
        <v>382</v>
      </c>
      <c r="B499" s="27" t="s">
        <v>632</v>
      </c>
      <c r="C499" s="28"/>
    </row>
    <row r="500" spans="1:3" hidden="1" x14ac:dyDescent="0.35">
      <c r="A500" s="27" t="s">
        <v>382</v>
      </c>
      <c r="B500" s="27" t="s">
        <v>633</v>
      </c>
      <c r="C500" s="28" t="s">
        <v>716</v>
      </c>
    </row>
    <row r="501" spans="1:3" hidden="1" x14ac:dyDescent="0.35">
      <c r="A501" s="27" t="s">
        <v>383</v>
      </c>
      <c r="B501" s="27" t="s">
        <v>633</v>
      </c>
      <c r="C501" s="28" t="s">
        <v>716</v>
      </c>
    </row>
    <row r="502" spans="1:3" hidden="1" x14ac:dyDescent="0.35">
      <c r="A502" s="27" t="s">
        <v>383</v>
      </c>
      <c r="B502" s="27" t="s">
        <v>630</v>
      </c>
      <c r="C502" s="28"/>
    </row>
    <row r="503" spans="1:3" hidden="1" x14ac:dyDescent="0.35">
      <c r="A503" s="27" t="s">
        <v>384</v>
      </c>
      <c r="B503" s="27" t="s">
        <v>632</v>
      </c>
      <c r="C503" s="28"/>
    </row>
    <row r="504" spans="1:3" hidden="1" x14ac:dyDescent="0.35">
      <c r="A504" s="27" t="s">
        <v>384</v>
      </c>
      <c r="B504" s="27" t="s">
        <v>633</v>
      </c>
      <c r="C504" s="28" t="s">
        <v>716</v>
      </c>
    </row>
    <row r="505" spans="1:3" hidden="1" x14ac:dyDescent="0.35">
      <c r="A505" s="27" t="s">
        <v>385</v>
      </c>
      <c r="B505" s="27" t="s">
        <v>633</v>
      </c>
      <c r="C505" s="28" t="s">
        <v>716</v>
      </c>
    </row>
    <row r="506" spans="1:3" hidden="1" x14ac:dyDescent="0.35">
      <c r="A506" s="27" t="s">
        <v>385</v>
      </c>
      <c r="B506" s="27" t="s">
        <v>630</v>
      </c>
      <c r="C506" s="28"/>
    </row>
    <row r="507" spans="1:3" hidden="1" x14ac:dyDescent="0.35">
      <c r="A507" s="27" t="s">
        <v>386</v>
      </c>
      <c r="B507" s="27" t="s">
        <v>633</v>
      </c>
      <c r="C507" s="28" t="s">
        <v>716</v>
      </c>
    </row>
    <row r="508" spans="1:3" hidden="1" x14ac:dyDescent="0.35">
      <c r="A508" s="27" t="s">
        <v>386</v>
      </c>
      <c r="B508" s="27" t="s">
        <v>630</v>
      </c>
      <c r="C508" s="28"/>
    </row>
    <row r="509" spans="1:3" hidden="1" x14ac:dyDescent="0.35">
      <c r="A509" s="27" t="s">
        <v>387</v>
      </c>
      <c r="B509" s="27" t="s">
        <v>633</v>
      </c>
      <c r="C509" s="28" t="s">
        <v>716</v>
      </c>
    </row>
    <row r="510" spans="1:3" hidden="1" x14ac:dyDescent="0.35">
      <c r="A510" s="27" t="s">
        <v>387</v>
      </c>
      <c r="B510" s="27" t="s">
        <v>630</v>
      </c>
      <c r="C510" s="28"/>
    </row>
    <row r="511" spans="1:3" x14ac:dyDescent="0.35">
      <c r="A511" s="27" t="s">
        <v>388</v>
      </c>
      <c r="B511" s="27" t="s">
        <v>614</v>
      </c>
      <c r="C511" s="28" t="s">
        <v>625</v>
      </c>
    </row>
    <row r="512" spans="1:3" hidden="1" x14ac:dyDescent="0.35">
      <c r="A512" s="27" t="s">
        <v>388</v>
      </c>
      <c r="B512" s="27" t="s">
        <v>688</v>
      </c>
      <c r="C512" s="28"/>
    </row>
    <row r="513" spans="1:3" x14ac:dyDescent="0.35">
      <c r="A513" s="27" t="s">
        <v>389</v>
      </c>
      <c r="B513" s="27" t="s">
        <v>614</v>
      </c>
      <c r="C513" s="28" t="s">
        <v>625</v>
      </c>
    </row>
    <row r="514" spans="1:3" x14ac:dyDescent="0.35">
      <c r="A514" s="27" t="s">
        <v>389</v>
      </c>
      <c r="B514" s="27" t="s">
        <v>614</v>
      </c>
      <c r="C514" s="28" t="s">
        <v>738</v>
      </c>
    </row>
    <row r="515" spans="1:3" hidden="1" x14ac:dyDescent="0.35">
      <c r="A515" s="27" t="s">
        <v>390</v>
      </c>
      <c r="B515" s="27" t="s">
        <v>656</v>
      </c>
      <c r="C515" s="28" t="s">
        <v>690</v>
      </c>
    </row>
    <row r="516" spans="1:3" hidden="1" x14ac:dyDescent="0.35">
      <c r="A516" s="27" t="s">
        <v>390</v>
      </c>
      <c r="B516" s="27" t="s">
        <v>691</v>
      </c>
      <c r="C516" s="28" t="s">
        <v>692</v>
      </c>
    </row>
    <row r="517" spans="1:3" hidden="1" x14ac:dyDescent="0.35">
      <c r="A517" s="27" t="s">
        <v>390</v>
      </c>
      <c r="B517" s="27" t="s">
        <v>657</v>
      </c>
      <c r="C517" s="28" t="s">
        <v>690</v>
      </c>
    </row>
    <row r="518" spans="1:3" hidden="1" x14ac:dyDescent="0.35">
      <c r="A518" s="27" t="s">
        <v>392</v>
      </c>
      <c r="B518" s="27" t="s">
        <v>656</v>
      </c>
      <c r="C518" s="28" t="s">
        <v>690</v>
      </c>
    </row>
    <row r="519" spans="1:3" hidden="1" x14ac:dyDescent="0.35">
      <c r="A519" s="27" t="s">
        <v>392</v>
      </c>
      <c r="B519" s="27" t="s">
        <v>691</v>
      </c>
      <c r="C519" s="28" t="s">
        <v>692</v>
      </c>
    </row>
    <row r="520" spans="1:3" hidden="1" x14ac:dyDescent="0.35">
      <c r="A520" s="27" t="s">
        <v>392</v>
      </c>
      <c r="B520" s="27" t="s">
        <v>657</v>
      </c>
      <c r="C520" s="28" t="s">
        <v>690</v>
      </c>
    </row>
    <row r="521" spans="1:3" hidden="1" x14ac:dyDescent="0.35">
      <c r="A521" s="27" t="s">
        <v>393</v>
      </c>
      <c r="B521" s="27" t="s">
        <v>656</v>
      </c>
      <c r="C521" s="28" t="s">
        <v>690</v>
      </c>
    </row>
    <row r="522" spans="1:3" hidden="1" x14ac:dyDescent="0.35">
      <c r="A522" s="27" t="s">
        <v>393</v>
      </c>
      <c r="B522" s="27" t="s">
        <v>715</v>
      </c>
      <c r="C522" s="28"/>
    </row>
    <row r="523" spans="1:3" hidden="1" x14ac:dyDescent="0.35">
      <c r="A523" s="27" t="s">
        <v>393</v>
      </c>
      <c r="B523" s="27" t="s">
        <v>691</v>
      </c>
      <c r="C523" s="28" t="s">
        <v>692</v>
      </c>
    </row>
    <row r="524" spans="1:3" hidden="1" x14ac:dyDescent="0.35">
      <c r="A524" s="27" t="s">
        <v>393</v>
      </c>
      <c r="B524" s="27" t="s">
        <v>657</v>
      </c>
      <c r="C524" s="28" t="s">
        <v>690</v>
      </c>
    </row>
    <row r="525" spans="1:3" hidden="1" x14ac:dyDescent="0.35">
      <c r="A525" s="27" t="s">
        <v>394</v>
      </c>
      <c r="B525" s="27" t="s">
        <v>656</v>
      </c>
      <c r="C525" s="28" t="s">
        <v>690</v>
      </c>
    </row>
    <row r="526" spans="1:3" hidden="1" x14ac:dyDescent="0.35">
      <c r="A526" s="27" t="s">
        <v>394</v>
      </c>
      <c r="B526" s="27" t="s">
        <v>691</v>
      </c>
      <c r="C526" s="28" t="s">
        <v>692</v>
      </c>
    </row>
    <row r="527" spans="1:3" hidden="1" x14ac:dyDescent="0.35">
      <c r="A527" s="27" t="s">
        <v>394</v>
      </c>
      <c r="B527" s="27" t="s">
        <v>657</v>
      </c>
      <c r="C527" s="28" t="s">
        <v>690</v>
      </c>
    </row>
    <row r="528" spans="1:3" hidden="1" x14ac:dyDescent="0.35">
      <c r="A528" s="27" t="s">
        <v>395</v>
      </c>
      <c r="B528" s="27" t="s">
        <v>656</v>
      </c>
      <c r="C528" s="28" t="s">
        <v>690</v>
      </c>
    </row>
    <row r="529" spans="1:3" hidden="1" x14ac:dyDescent="0.35">
      <c r="A529" s="27" t="s">
        <v>395</v>
      </c>
      <c r="B529" s="27" t="s">
        <v>691</v>
      </c>
      <c r="C529" s="28" t="s">
        <v>692</v>
      </c>
    </row>
    <row r="530" spans="1:3" hidden="1" x14ac:dyDescent="0.35">
      <c r="A530" s="27" t="s">
        <v>395</v>
      </c>
      <c r="B530" s="27" t="s">
        <v>657</v>
      </c>
      <c r="C530" s="28" t="s">
        <v>690</v>
      </c>
    </row>
    <row r="531" spans="1:3" hidden="1" x14ac:dyDescent="0.35">
      <c r="A531" s="27" t="s">
        <v>396</v>
      </c>
      <c r="B531" s="27" t="s">
        <v>656</v>
      </c>
      <c r="C531" s="28" t="s">
        <v>690</v>
      </c>
    </row>
    <row r="532" spans="1:3" hidden="1" x14ac:dyDescent="0.35">
      <c r="A532" s="27" t="s">
        <v>396</v>
      </c>
      <c r="B532" s="27" t="s">
        <v>691</v>
      </c>
      <c r="C532" s="28" t="s">
        <v>692</v>
      </c>
    </row>
    <row r="533" spans="1:3" hidden="1" x14ac:dyDescent="0.35">
      <c r="A533" s="27" t="s">
        <v>396</v>
      </c>
      <c r="B533" s="27" t="s">
        <v>657</v>
      </c>
      <c r="C533" s="28" t="s">
        <v>690</v>
      </c>
    </row>
    <row r="534" spans="1:3" hidden="1" x14ac:dyDescent="0.35">
      <c r="A534" s="27" t="s">
        <v>398</v>
      </c>
      <c r="B534" s="27" t="s">
        <v>656</v>
      </c>
      <c r="C534" s="28" t="s">
        <v>690</v>
      </c>
    </row>
    <row r="535" spans="1:3" hidden="1" x14ac:dyDescent="0.35">
      <c r="A535" s="27" t="s">
        <v>398</v>
      </c>
      <c r="B535" s="27" t="s">
        <v>691</v>
      </c>
      <c r="C535" s="28" t="s">
        <v>692</v>
      </c>
    </row>
    <row r="536" spans="1:3" hidden="1" x14ac:dyDescent="0.35">
      <c r="A536" s="27" t="s">
        <v>398</v>
      </c>
      <c r="B536" s="27" t="s">
        <v>657</v>
      </c>
      <c r="C536" s="28" t="s">
        <v>690</v>
      </c>
    </row>
    <row r="537" spans="1:3" hidden="1" x14ac:dyDescent="0.35">
      <c r="A537" s="27" t="s">
        <v>398</v>
      </c>
      <c r="B537" s="27" t="s">
        <v>630</v>
      </c>
      <c r="C537" s="28"/>
    </row>
    <row r="538" spans="1:3" hidden="1" x14ac:dyDescent="0.35">
      <c r="A538" s="27" t="s">
        <v>400</v>
      </c>
      <c r="B538" s="27" t="s">
        <v>656</v>
      </c>
      <c r="C538" s="28" t="s">
        <v>690</v>
      </c>
    </row>
    <row r="539" spans="1:3" hidden="1" x14ac:dyDescent="0.35">
      <c r="A539" s="27" t="s">
        <v>400</v>
      </c>
      <c r="B539" s="27" t="s">
        <v>715</v>
      </c>
      <c r="C539" s="28"/>
    </row>
    <row r="540" spans="1:3" hidden="1" x14ac:dyDescent="0.35">
      <c r="A540" s="27" t="s">
        <v>400</v>
      </c>
      <c r="B540" s="27" t="s">
        <v>691</v>
      </c>
      <c r="C540" s="28" t="s">
        <v>692</v>
      </c>
    </row>
    <row r="541" spans="1:3" hidden="1" x14ac:dyDescent="0.35">
      <c r="A541" s="27" t="s">
        <v>400</v>
      </c>
      <c r="B541" s="27" t="s">
        <v>657</v>
      </c>
      <c r="C541" s="28" t="s">
        <v>690</v>
      </c>
    </row>
    <row r="542" spans="1:3" hidden="1" x14ac:dyDescent="0.35">
      <c r="A542" s="27" t="s">
        <v>401</v>
      </c>
      <c r="B542" s="27" t="s">
        <v>631</v>
      </c>
      <c r="C542" s="28"/>
    </row>
    <row r="543" spans="1:3" hidden="1" x14ac:dyDescent="0.35">
      <c r="A543" s="27" t="s">
        <v>401</v>
      </c>
      <c r="B543" s="27" t="s">
        <v>656</v>
      </c>
      <c r="C543" s="28" t="s">
        <v>690</v>
      </c>
    </row>
    <row r="544" spans="1:3" hidden="1" x14ac:dyDescent="0.35">
      <c r="A544" s="27" t="s">
        <v>401</v>
      </c>
      <c r="B544" s="27" t="s">
        <v>691</v>
      </c>
      <c r="C544" s="28" t="s">
        <v>692</v>
      </c>
    </row>
    <row r="545" spans="1:3" hidden="1" x14ac:dyDescent="0.35">
      <c r="A545" s="27" t="s">
        <v>401</v>
      </c>
      <c r="B545" s="27" t="s">
        <v>657</v>
      </c>
      <c r="C545" s="28" t="s">
        <v>690</v>
      </c>
    </row>
    <row r="546" spans="1:3" hidden="1" x14ac:dyDescent="0.35">
      <c r="A546" s="27" t="s">
        <v>402</v>
      </c>
      <c r="B546" s="27" t="s">
        <v>656</v>
      </c>
      <c r="C546" s="28" t="s">
        <v>690</v>
      </c>
    </row>
    <row r="547" spans="1:3" hidden="1" x14ac:dyDescent="0.35">
      <c r="A547" s="27" t="s">
        <v>402</v>
      </c>
      <c r="B547" s="27" t="s">
        <v>715</v>
      </c>
      <c r="C547" s="28"/>
    </row>
    <row r="548" spans="1:3" hidden="1" x14ac:dyDescent="0.35">
      <c r="A548" s="27" t="s">
        <v>402</v>
      </c>
      <c r="B548" s="27" t="s">
        <v>691</v>
      </c>
      <c r="C548" s="28" t="s">
        <v>692</v>
      </c>
    </row>
    <row r="549" spans="1:3" hidden="1" x14ac:dyDescent="0.35">
      <c r="A549" s="27" t="s">
        <v>402</v>
      </c>
      <c r="B549" s="27" t="s">
        <v>657</v>
      </c>
      <c r="C549" s="28" t="s">
        <v>690</v>
      </c>
    </row>
    <row r="550" spans="1:3" hidden="1" x14ac:dyDescent="0.35">
      <c r="A550" s="27" t="s">
        <v>403</v>
      </c>
      <c r="B550" s="27" t="s">
        <v>656</v>
      </c>
      <c r="C550" s="28" t="s">
        <v>690</v>
      </c>
    </row>
    <row r="551" spans="1:3" hidden="1" x14ac:dyDescent="0.35">
      <c r="A551" s="27" t="s">
        <v>403</v>
      </c>
      <c r="B551" s="27" t="s">
        <v>715</v>
      </c>
      <c r="C551" s="28"/>
    </row>
    <row r="552" spans="1:3" hidden="1" x14ac:dyDescent="0.35">
      <c r="A552" s="27" t="s">
        <v>403</v>
      </c>
      <c r="B552" s="27" t="s">
        <v>691</v>
      </c>
      <c r="C552" s="28" t="s">
        <v>692</v>
      </c>
    </row>
    <row r="553" spans="1:3" hidden="1" x14ac:dyDescent="0.35">
      <c r="A553" s="27" t="s">
        <v>403</v>
      </c>
      <c r="B553" s="27" t="s">
        <v>657</v>
      </c>
      <c r="C553" s="28" t="s">
        <v>690</v>
      </c>
    </row>
    <row r="554" spans="1:3" hidden="1" x14ac:dyDescent="0.35">
      <c r="A554" s="27" t="s">
        <v>404</v>
      </c>
      <c r="B554" s="27" t="s">
        <v>632</v>
      </c>
      <c r="C554" s="28"/>
    </row>
    <row r="555" spans="1:3" hidden="1" x14ac:dyDescent="0.35">
      <c r="A555" s="27" t="s">
        <v>404</v>
      </c>
      <c r="B555" s="27" t="s">
        <v>656</v>
      </c>
      <c r="C555" s="28" t="s">
        <v>690</v>
      </c>
    </row>
    <row r="556" spans="1:3" hidden="1" x14ac:dyDescent="0.35">
      <c r="A556" s="27" t="s">
        <v>404</v>
      </c>
      <c r="B556" s="27" t="s">
        <v>691</v>
      </c>
      <c r="C556" s="28" t="s">
        <v>692</v>
      </c>
    </row>
    <row r="557" spans="1:3" hidden="1" x14ac:dyDescent="0.35">
      <c r="A557" s="27" t="s">
        <v>404</v>
      </c>
      <c r="B557" s="27" t="s">
        <v>657</v>
      </c>
      <c r="C557" s="28" t="s">
        <v>690</v>
      </c>
    </row>
    <row r="558" spans="1:3" hidden="1" x14ac:dyDescent="0.35">
      <c r="A558" s="27" t="s">
        <v>405</v>
      </c>
      <c r="B558" s="27" t="s">
        <v>656</v>
      </c>
      <c r="C558" s="28" t="s">
        <v>690</v>
      </c>
    </row>
    <row r="559" spans="1:3" hidden="1" x14ac:dyDescent="0.35">
      <c r="A559" s="27" t="s">
        <v>405</v>
      </c>
      <c r="B559" s="27" t="s">
        <v>715</v>
      </c>
      <c r="C559" s="28"/>
    </row>
    <row r="560" spans="1:3" hidden="1" x14ac:dyDescent="0.35">
      <c r="A560" s="27" t="s">
        <v>405</v>
      </c>
      <c r="B560" s="27" t="s">
        <v>691</v>
      </c>
      <c r="C560" s="28" t="s">
        <v>692</v>
      </c>
    </row>
    <row r="561" spans="1:3" hidden="1" x14ac:dyDescent="0.35">
      <c r="A561" s="27" t="s">
        <v>405</v>
      </c>
      <c r="B561" s="27" t="s">
        <v>657</v>
      </c>
      <c r="C561" s="28" t="s">
        <v>690</v>
      </c>
    </row>
    <row r="562" spans="1:3" hidden="1" x14ac:dyDescent="0.35">
      <c r="A562" s="27" t="s">
        <v>405</v>
      </c>
      <c r="B562" s="27" t="s">
        <v>630</v>
      </c>
      <c r="C562" s="28"/>
    </row>
    <row r="563" spans="1:3" hidden="1" x14ac:dyDescent="0.35">
      <c r="A563" s="27" t="s">
        <v>406</v>
      </c>
      <c r="B563" s="27" t="s">
        <v>632</v>
      </c>
      <c r="C563" s="28"/>
    </row>
    <row r="564" spans="1:3" hidden="1" x14ac:dyDescent="0.35">
      <c r="A564" s="27" t="s">
        <v>406</v>
      </c>
      <c r="B564" s="27" t="s">
        <v>656</v>
      </c>
      <c r="C564" s="28" t="s">
        <v>690</v>
      </c>
    </row>
    <row r="565" spans="1:3" hidden="1" x14ac:dyDescent="0.35">
      <c r="A565" s="27" t="s">
        <v>406</v>
      </c>
      <c r="B565" s="27" t="s">
        <v>691</v>
      </c>
      <c r="C565" s="28" t="s">
        <v>692</v>
      </c>
    </row>
    <row r="566" spans="1:3" hidden="1" x14ac:dyDescent="0.35">
      <c r="A566" s="27" t="s">
        <v>406</v>
      </c>
      <c r="B566" s="27" t="s">
        <v>657</v>
      </c>
      <c r="C566" s="28" t="s">
        <v>690</v>
      </c>
    </row>
    <row r="567" spans="1:3" hidden="1" x14ac:dyDescent="0.35">
      <c r="A567" s="27" t="s">
        <v>407</v>
      </c>
      <c r="B567" s="27" t="s">
        <v>656</v>
      </c>
      <c r="C567" s="28" t="s">
        <v>690</v>
      </c>
    </row>
    <row r="568" spans="1:3" hidden="1" x14ac:dyDescent="0.35">
      <c r="A568" s="27" t="s">
        <v>407</v>
      </c>
      <c r="B568" s="27" t="s">
        <v>691</v>
      </c>
      <c r="C568" s="28" t="s">
        <v>692</v>
      </c>
    </row>
    <row r="569" spans="1:3" hidden="1" x14ac:dyDescent="0.35">
      <c r="A569" s="27" t="s">
        <v>407</v>
      </c>
      <c r="B569" s="27" t="s">
        <v>657</v>
      </c>
      <c r="C569" s="28" t="s">
        <v>690</v>
      </c>
    </row>
    <row r="570" spans="1:3" hidden="1" x14ac:dyDescent="0.35">
      <c r="A570" s="27" t="s">
        <v>407</v>
      </c>
      <c r="B570" s="27" t="s">
        <v>630</v>
      </c>
      <c r="C570" s="28"/>
    </row>
    <row r="571" spans="1:3" hidden="1" x14ac:dyDescent="0.35">
      <c r="A571" s="27" t="s">
        <v>408</v>
      </c>
      <c r="B571" s="27" t="s">
        <v>656</v>
      </c>
      <c r="C571" s="28" t="s">
        <v>690</v>
      </c>
    </row>
    <row r="572" spans="1:3" hidden="1" x14ac:dyDescent="0.35">
      <c r="A572" s="27" t="s">
        <v>408</v>
      </c>
      <c r="B572" s="27" t="s">
        <v>691</v>
      </c>
      <c r="C572" s="28" t="s">
        <v>692</v>
      </c>
    </row>
    <row r="573" spans="1:3" hidden="1" x14ac:dyDescent="0.35">
      <c r="A573" s="27" t="s">
        <v>408</v>
      </c>
      <c r="B573" s="27" t="s">
        <v>657</v>
      </c>
      <c r="C573" s="28" t="s">
        <v>690</v>
      </c>
    </row>
    <row r="574" spans="1:3" hidden="1" x14ac:dyDescent="0.35">
      <c r="A574" s="27" t="s">
        <v>408</v>
      </c>
      <c r="B574" s="27" t="s">
        <v>630</v>
      </c>
      <c r="C574" s="28"/>
    </row>
    <row r="575" spans="1:3" hidden="1" x14ac:dyDescent="0.35">
      <c r="A575" s="27" t="s">
        <v>409</v>
      </c>
      <c r="B575" s="27" t="s">
        <v>694</v>
      </c>
      <c r="C575" s="28"/>
    </row>
    <row r="576" spans="1:3" hidden="1" x14ac:dyDescent="0.35">
      <c r="A576" s="27" t="s">
        <v>409</v>
      </c>
      <c r="B576" s="27" t="s">
        <v>691</v>
      </c>
      <c r="C576" s="28" t="s">
        <v>692</v>
      </c>
    </row>
    <row r="577" spans="1:3" hidden="1" x14ac:dyDescent="0.35">
      <c r="A577" s="27" t="s">
        <v>410</v>
      </c>
      <c r="B577" s="27" t="s">
        <v>694</v>
      </c>
      <c r="C577" s="28"/>
    </row>
    <row r="578" spans="1:3" hidden="1" x14ac:dyDescent="0.35">
      <c r="A578" s="27" t="s">
        <v>410</v>
      </c>
      <c r="B578" s="27" t="s">
        <v>691</v>
      </c>
      <c r="C578" s="28" t="s">
        <v>692</v>
      </c>
    </row>
    <row r="579" spans="1:3" hidden="1" x14ac:dyDescent="0.35">
      <c r="A579" s="27" t="s">
        <v>412</v>
      </c>
      <c r="B579" s="27" t="s">
        <v>715</v>
      </c>
      <c r="C579" s="28"/>
    </row>
    <row r="580" spans="1:3" hidden="1" x14ac:dyDescent="0.35">
      <c r="A580" s="27" t="s">
        <v>412</v>
      </c>
      <c r="B580" s="27" t="s">
        <v>694</v>
      </c>
      <c r="C580" s="28" t="s">
        <v>739</v>
      </c>
    </row>
    <row r="581" spans="1:3" hidden="1" x14ac:dyDescent="0.35">
      <c r="A581" s="27" t="s">
        <v>413</v>
      </c>
      <c r="B581" s="27" t="s">
        <v>715</v>
      </c>
      <c r="C581" s="28"/>
    </row>
    <row r="582" spans="1:3" hidden="1" x14ac:dyDescent="0.35">
      <c r="A582" s="27" t="s">
        <v>413</v>
      </c>
      <c r="B582" s="27" t="s">
        <v>694</v>
      </c>
      <c r="C582" s="28" t="s">
        <v>739</v>
      </c>
    </row>
    <row r="583" spans="1:3" hidden="1" x14ac:dyDescent="0.35">
      <c r="A583" s="27" t="s">
        <v>414</v>
      </c>
      <c r="B583" s="27" t="s">
        <v>694</v>
      </c>
      <c r="C583" s="28" t="s">
        <v>739</v>
      </c>
    </row>
    <row r="584" spans="1:3" hidden="1" x14ac:dyDescent="0.35">
      <c r="A584" s="27" t="s">
        <v>414</v>
      </c>
      <c r="B584" s="27" t="s">
        <v>630</v>
      </c>
      <c r="C584" s="28"/>
    </row>
    <row r="585" spans="1:3" hidden="1" x14ac:dyDescent="0.35">
      <c r="A585" s="27" t="s">
        <v>415</v>
      </c>
      <c r="B585" s="27" t="s">
        <v>694</v>
      </c>
      <c r="C585" s="28" t="s">
        <v>739</v>
      </c>
    </row>
    <row r="586" spans="1:3" hidden="1" x14ac:dyDescent="0.35">
      <c r="A586" s="27" t="s">
        <v>415</v>
      </c>
      <c r="B586" s="27" t="s">
        <v>630</v>
      </c>
      <c r="C586" s="28"/>
    </row>
    <row r="587" spans="1:3" hidden="1" x14ac:dyDescent="0.35">
      <c r="A587" s="27" t="s">
        <v>416</v>
      </c>
      <c r="B587" s="27" t="s">
        <v>630</v>
      </c>
      <c r="C587" s="28"/>
    </row>
    <row r="588" spans="1:3" hidden="1" x14ac:dyDescent="0.35">
      <c r="A588" s="27" t="s">
        <v>417</v>
      </c>
      <c r="B588" s="27" t="s">
        <v>640</v>
      </c>
      <c r="C588" s="28"/>
    </row>
    <row r="589" spans="1:3" hidden="1" x14ac:dyDescent="0.35">
      <c r="A589" s="27" t="s">
        <v>417</v>
      </c>
      <c r="B589" s="27" t="s">
        <v>697</v>
      </c>
      <c r="C589" s="28"/>
    </row>
    <row r="590" spans="1:3" hidden="1" x14ac:dyDescent="0.35">
      <c r="A590" s="27" t="s">
        <v>418</v>
      </c>
      <c r="B590" s="27" t="s">
        <v>640</v>
      </c>
      <c r="C590" s="28"/>
    </row>
    <row r="591" spans="1:3" hidden="1" x14ac:dyDescent="0.35">
      <c r="A591" s="27" t="s">
        <v>418</v>
      </c>
      <c r="B591" s="27" t="s">
        <v>697</v>
      </c>
      <c r="C591" s="28"/>
    </row>
    <row r="592" spans="1:3" hidden="1" x14ac:dyDescent="0.35">
      <c r="A592" s="27" t="s">
        <v>419</v>
      </c>
      <c r="B592" s="27" t="s">
        <v>640</v>
      </c>
      <c r="C592" s="28"/>
    </row>
    <row r="593" spans="1:3" hidden="1" x14ac:dyDescent="0.35">
      <c r="A593" s="27" t="s">
        <v>419</v>
      </c>
      <c r="B593" s="27" t="s">
        <v>697</v>
      </c>
      <c r="C593" s="28"/>
    </row>
    <row r="594" spans="1:3" hidden="1" x14ac:dyDescent="0.35">
      <c r="A594" s="27" t="s">
        <v>420</v>
      </c>
      <c r="B594" s="27" t="s">
        <v>640</v>
      </c>
      <c r="C594" s="28"/>
    </row>
    <row r="595" spans="1:3" hidden="1" x14ac:dyDescent="0.35">
      <c r="A595" s="27" t="s">
        <v>420</v>
      </c>
      <c r="B595" s="27" t="s">
        <v>697</v>
      </c>
      <c r="C595" s="28"/>
    </row>
    <row r="596" spans="1:3" hidden="1" x14ac:dyDescent="0.35">
      <c r="A596" s="27" t="s">
        <v>421</v>
      </c>
      <c r="B596" s="27" t="s">
        <v>630</v>
      </c>
      <c r="C596" s="28"/>
    </row>
    <row r="597" spans="1:3" hidden="1" x14ac:dyDescent="0.35">
      <c r="A597" s="27" t="s">
        <v>421</v>
      </c>
      <c r="B597" s="27" t="s">
        <v>640</v>
      </c>
      <c r="C597" s="28"/>
    </row>
    <row r="598" spans="1:3" hidden="1" x14ac:dyDescent="0.35">
      <c r="A598" s="27" t="s">
        <v>421</v>
      </c>
      <c r="B598" s="27" t="s">
        <v>697</v>
      </c>
      <c r="C598" s="28"/>
    </row>
    <row r="599" spans="1:3" x14ac:dyDescent="0.35">
      <c r="A599" s="27" t="s">
        <v>422</v>
      </c>
      <c r="B599" s="27" t="s">
        <v>614</v>
      </c>
      <c r="C599" s="28" t="s">
        <v>698</v>
      </c>
    </row>
    <row r="600" spans="1:3" hidden="1" x14ac:dyDescent="0.35">
      <c r="A600" s="27" t="s">
        <v>422</v>
      </c>
      <c r="B600" s="27" t="s">
        <v>691</v>
      </c>
      <c r="C600" s="28" t="s">
        <v>740</v>
      </c>
    </row>
    <row r="601" spans="1:3" hidden="1" x14ac:dyDescent="0.35">
      <c r="A601" s="27" t="s">
        <v>422</v>
      </c>
      <c r="B601" s="27" t="s">
        <v>700</v>
      </c>
      <c r="C601" s="28" t="s">
        <v>740</v>
      </c>
    </row>
    <row r="602" spans="1:3" hidden="1" x14ac:dyDescent="0.35">
      <c r="A602" s="27" t="s">
        <v>424</v>
      </c>
      <c r="B602" s="27" t="s">
        <v>717</v>
      </c>
      <c r="C602" s="28"/>
    </row>
    <row r="603" spans="1:3" hidden="1" x14ac:dyDescent="0.35">
      <c r="A603" s="27" t="s">
        <v>424</v>
      </c>
      <c r="B603" s="27" t="s">
        <v>718</v>
      </c>
      <c r="C603" s="28"/>
    </row>
    <row r="604" spans="1:3" hidden="1" x14ac:dyDescent="0.35">
      <c r="A604" s="27" t="s">
        <v>426</v>
      </c>
      <c r="B604" s="27" t="s">
        <v>717</v>
      </c>
      <c r="C604" s="28"/>
    </row>
    <row r="605" spans="1:3" hidden="1" x14ac:dyDescent="0.35">
      <c r="A605" s="27" t="s">
        <v>426</v>
      </c>
      <c r="B605" s="27" t="s">
        <v>718</v>
      </c>
      <c r="C605" s="28"/>
    </row>
    <row r="606" spans="1:3" hidden="1" x14ac:dyDescent="0.35">
      <c r="A606" s="27" t="s">
        <v>428</v>
      </c>
      <c r="B606" s="27" t="s">
        <v>717</v>
      </c>
      <c r="C606" s="28"/>
    </row>
    <row r="607" spans="1:3" hidden="1" x14ac:dyDescent="0.35">
      <c r="A607" s="27" t="s">
        <v>428</v>
      </c>
      <c r="B607" s="27" t="s">
        <v>718</v>
      </c>
      <c r="C607" s="28"/>
    </row>
    <row r="608" spans="1:3" hidden="1" x14ac:dyDescent="0.35">
      <c r="A608" s="27" t="s">
        <v>428</v>
      </c>
      <c r="B608" s="27" t="s">
        <v>633</v>
      </c>
      <c r="C608" s="28" t="s">
        <v>716</v>
      </c>
    </row>
    <row r="609" spans="1:3" x14ac:dyDescent="0.35">
      <c r="A609" s="27" t="s">
        <v>430</v>
      </c>
      <c r="B609" s="27" t="s">
        <v>614</v>
      </c>
      <c r="C609" s="28" t="s">
        <v>701</v>
      </c>
    </row>
    <row r="610" spans="1:3" hidden="1" x14ac:dyDescent="0.35">
      <c r="A610" s="27" t="s">
        <v>430</v>
      </c>
      <c r="B610" s="27" t="s">
        <v>630</v>
      </c>
      <c r="C610" s="28"/>
    </row>
    <row r="611" spans="1:3" hidden="1" x14ac:dyDescent="0.35">
      <c r="A611" s="27" t="s">
        <v>430</v>
      </c>
      <c r="B611" s="27" t="s">
        <v>700</v>
      </c>
      <c r="C611" s="28" t="s">
        <v>702</v>
      </c>
    </row>
    <row r="612" spans="1:3" x14ac:dyDescent="0.35">
      <c r="A612" s="27" t="s">
        <v>431</v>
      </c>
      <c r="B612" s="27" t="s">
        <v>614</v>
      </c>
      <c r="C612" s="28" t="s">
        <v>625</v>
      </c>
    </row>
    <row r="613" spans="1:3" x14ac:dyDescent="0.35">
      <c r="A613" s="27" t="s">
        <v>431</v>
      </c>
      <c r="B613" s="27" t="s">
        <v>614</v>
      </c>
      <c r="C613" s="28" t="s">
        <v>701</v>
      </c>
    </row>
    <row r="614" spans="1:3" hidden="1" x14ac:dyDescent="0.35">
      <c r="A614" s="27" t="s">
        <v>431</v>
      </c>
      <c r="B614" s="27" t="s">
        <v>630</v>
      </c>
      <c r="C614" s="28"/>
    </row>
    <row r="615" spans="1:3" hidden="1" x14ac:dyDescent="0.35">
      <c r="A615" s="27" t="s">
        <v>431</v>
      </c>
      <c r="B615" s="27" t="s">
        <v>700</v>
      </c>
      <c r="C615" s="28" t="s">
        <v>702</v>
      </c>
    </row>
    <row r="616" spans="1:3" x14ac:dyDescent="0.35">
      <c r="A616" s="27" t="s">
        <v>432</v>
      </c>
      <c r="B616" s="27" t="s">
        <v>614</v>
      </c>
      <c r="C616" s="28" t="s">
        <v>701</v>
      </c>
    </row>
    <row r="617" spans="1:3" hidden="1" x14ac:dyDescent="0.35">
      <c r="A617" s="27" t="s">
        <v>432</v>
      </c>
      <c r="B617" s="27" t="s">
        <v>630</v>
      </c>
      <c r="C617" s="28"/>
    </row>
    <row r="618" spans="1:3" hidden="1" x14ac:dyDescent="0.35">
      <c r="A618" s="27" t="s">
        <v>432</v>
      </c>
      <c r="B618" s="27" t="s">
        <v>700</v>
      </c>
      <c r="C618" s="28" t="s">
        <v>702</v>
      </c>
    </row>
    <row r="619" spans="1:3" x14ac:dyDescent="0.35">
      <c r="A619" s="27" t="s">
        <v>433</v>
      </c>
      <c r="B619" s="27" t="s">
        <v>614</v>
      </c>
      <c r="C619" s="28" t="s">
        <v>701</v>
      </c>
    </row>
    <row r="620" spans="1:3" hidden="1" x14ac:dyDescent="0.35">
      <c r="A620" s="27" t="s">
        <v>433</v>
      </c>
      <c r="B620" s="27" t="s">
        <v>630</v>
      </c>
      <c r="C620" s="28"/>
    </row>
    <row r="621" spans="1:3" hidden="1" x14ac:dyDescent="0.35">
      <c r="A621" s="27" t="s">
        <v>433</v>
      </c>
      <c r="B621" s="27" t="s">
        <v>700</v>
      </c>
      <c r="C621" s="28" t="s">
        <v>702</v>
      </c>
    </row>
    <row r="622" spans="1:3" x14ac:dyDescent="0.35">
      <c r="A622" s="27" t="s">
        <v>434</v>
      </c>
      <c r="B622" s="27" t="s">
        <v>614</v>
      </c>
      <c r="C622" s="28" t="s">
        <v>701</v>
      </c>
    </row>
    <row r="623" spans="1:3" hidden="1" x14ac:dyDescent="0.35">
      <c r="A623" s="27" t="s">
        <v>434</v>
      </c>
      <c r="B623" s="27" t="s">
        <v>630</v>
      </c>
      <c r="C623" s="28"/>
    </row>
    <row r="624" spans="1:3" hidden="1" x14ac:dyDescent="0.35">
      <c r="A624" s="27" t="s">
        <v>434</v>
      </c>
      <c r="B624" s="27" t="s">
        <v>700</v>
      </c>
      <c r="C624" s="28" t="s">
        <v>702</v>
      </c>
    </row>
    <row r="625" spans="1:3" hidden="1" x14ac:dyDescent="0.35">
      <c r="A625" s="27" t="s">
        <v>435</v>
      </c>
      <c r="B625" s="27" t="s">
        <v>741</v>
      </c>
      <c r="C625" s="28"/>
    </row>
    <row r="626" spans="1:3" x14ac:dyDescent="0.35">
      <c r="A626" s="27" t="s">
        <v>437</v>
      </c>
      <c r="B626" s="27" t="s">
        <v>614</v>
      </c>
      <c r="C626" s="28" t="s">
        <v>742</v>
      </c>
    </row>
    <row r="627" spans="1:3" x14ac:dyDescent="0.35">
      <c r="A627" s="27" t="s">
        <v>438</v>
      </c>
      <c r="B627" s="27" t="s">
        <v>614</v>
      </c>
      <c r="C627" s="28" t="s">
        <v>743</v>
      </c>
    </row>
    <row r="628" spans="1:3" hidden="1" x14ac:dyDescent="0.35">
      <c r="A628" s="27" t="s">
        <v>439</v>
      </c>
      <c r="B628" s="27" t="s">
        <v>626</v>
      </c>
      <c r="C628" s="28" t="s">
        <v>744</v>
      </c>
    </row>
    <row r="629" spans="1:3" hidden="1" x14ac:dyDescent="0.35">
      <c r="A629" s="27" t="s">
        <v>440</v>
      </c>
      <c r="B629" s="27" t="s">
        <v>629</v>
      </c>
      <c r="C629" s="28"/>
    </row>
    <row r="630" spans="1:3" hidden="1" x14ac:dyDescent="0.35">
      <c r="A630" s="27" t="s">
        <v>441</v>
      </c>
      <c r="B630" s="27" t="s">
        <v>629</v>
      </c>
      <c r="C630" s="28"/>
    </row>
    <row r="631" spans="1:3" hidden="1" x14ac:dyDescent="0.35">
      <c r="A631" s="27" t="s">
        <v>443</v>
      </c>
      <c r="B631" s="27" t="s">
        <v>626</v>
      </c>
      <c r="C631" s="28" t="s">
        <v>744</v>
      </c>
    </row>
    <row r="632" spans="1:3" hidden="1" x14ac:dyDescent="0.35">
      <c r="A632" s="27" t="s">
        <v>443</v>
      </c>
      <c r="B632" s="27" t="s">
        <v>630</v>
      </c>
      <c r="C632" s="28"/>
    </row>
    <row r="633" spans="1:3" hidden="1" x14ac:dyDescent="0.35">
      <c r="A633" s="27" t="s">
        <v>444</v>
      </c>
      <c r="B633" s="27" t="s">
        <v>626</v>
      </c>
      <c r="C633" s="28" t="s">
        <v>744</v>
      </c>
    </row>
    <row r="634" spans="1:3" hidden="1" x14ac:dyDescent="0.35">
      <c r="A634" s="27" t="s">
        <v>444</v>
      </c>
      <c r="B634" s="27" t="s">
        <v>630</v>
      </c>
      <c r="C634" s="28"/>
    </row>
    <row r="635" spans="1:3" hidden="1" x14ac:dyDescent="0.35">
      <c r="A635" s="27" t="s">
        <v>446</v>
      </c>
      <c r="B635" s="27" t="s">
        <v>629</v>
      </c>
      <c r="C635" s="28"/>
    </row>
    <row r="636" spans="1:3" hidden="1" x14ac:dyDescent="0.35">
      <c r="A636" s="27" t="s">
        <v>447</v>
      </c>
      <c r="B636" s="27" t="s">
        <v>631</v>
      </c>
      <c r="C636" s="28"/>
    </row>
    <row r="637" spans="1:3" hidden="1" x14ac:dyDescent="0.35">
      <c r="A637" s="27" t="s">
        <v>447</v>
      </c>
      <c r="B637" s="27" t="s">
        <v>626</v>
      </c>
      <c r="C637" s="28" t="s">
        <v>744</v>
      </c>
    </row>
    <row r="638" spans="1:3" hidden="1" x14ac:dyDescent="0.35">
      <c r="A638" s="27" t="s">
        <v>448</v>
      </c>
      <c r="B638" s="27" t="s">
        <v>629</v>
      </c>
      <c r="C638" s="28"/>
    </row>
    <row r="639" spans="1:3" hidden="1" x14ac:dyDescent="0.35">
      <c r="A639" s="27" t="s">
        <v>449</v>
      </c>
      <c r="B639" s="27" t="s">
        <v>626</v>
      </c>
      <c r="C639" s="28" t="s">
        <v>744</v>
      </c>
    </row>
    <row r="640" spans="1:3" hidden="1" x14ac:dyDescent="0.35">
      <c r="A640" s="27" t="s">
        <v>449</v>
      </c>
      <c r="B640" s="27" t="s">
        <v>630</v>
      </c>
      <c r="C640" s="28"/>
    </row>
    <row r="641" spans="1:3" hidden="1" x14ac:dyDescent="0.35">
      <c r="A641" s="27" t="s">
        <v>450</v>
      </c>
      <c r="B641" s="27" t="s">
        <v>632</v>
      </c>
      <c r="C641" s="28"/>
    </row>
    <row r="642" spans="1:3" hidden="1" x14ac:dyDescent="0.35">
      <c r="A642" s="27" t="s">
        <v>450</v>
      </c>
      <c r="B642" s="27" t="s">
        <v>626</v>
      </c>
      <c r="C642" s="28" t="s">
        <v>744</v>
      </c>
    </row>
    <row r="643" spans="1:3" hidden="1" x14ac:dyDescent="0.35">
      <c r="A643" s="27" t="s">
        <v>451</v>
      </c>
      <c r="B643" s="27" t="s">
        <v>626</v>
      </c>
      <c r="C643" s="28" t="s">
        <v>744</v>
      </c>
    </row>
    <row r="644" spans="1:3" hidden="1" x14ac:dyDescent="0.35">
      <c r="A644" s="27" t="s">
        <v>451</v>
      </c>
      <c r="B644" s="27" t="s">
        <v>630</v>
      </c>
      <c r="C644" s="28"/>
    </row>
    <row r="645" spans="1:3" hidden="1" x14ac:dyDescent="0.35">
      <c r="A645" s="27" t="s">
        <v>452</v>
      </c>
      <c r="B645" s="27" t="s">
        <v>632</v>
      </c>
      <c r="C645" s="28"/>
    </row>
    <row r="646" spans="1:3" hidden="1" x14ac:dyDescent="0.35">
      <c r="A646" s="27" t="s">
        <v>452</v>
      </c>
      <c r="B646" s="27" t="s">
        <v>626</v>
      </c>
      <c r="C646" s="28" t="s">
        <v>744</v>
      </c>
    </row>
    <row r="647" spans="1:3" hidden="1" x14ac:dyDescent="0.35">
      <c r="A647" s="27" t="s">
        <v>453</v>
      </c>
      <c r="B647" s="27" t="s">
        <v>626</v>
      </c>
      <c r="C647" s="28" t="s">
        <v>744</v>
      </c>
    </row>
    <row r="648" spans="1:3" hidden="1" x14ac:dyDescent="0.35">
      <c r="A648" s="27" t="s">
        <v>453</v>
      </c>
      <c r="B648" s="27" t="s">
        <v>630</v>
      </c>
      <c r="C648" s="28"/>
    </row>
    <row r="649" spans="1:3" hidden="1" x14ac:dyDescent="0.35">
      <c r="A649" s="27" t="s">
        <v>454</v>
      </c>
      <c r="B649" s="27" t="s">
        <v>626</v>
      </c>
      <c r="C649" s="28" t="s">
        <v>744</v>
      </c>
    </row>
    <row r="650" spans="1:3" hidden="1" x14ac:dyDescent="0.35">
      <c r="A650" s="27" t="s">
        <v>454</v>
      </c>
      <c r="B650" s="27" t="s">
        <v>630</v>
      </c>
      <c r="C650" s="28"/>
    </row>
    <row r="651" spans="1:3" hidden="1" x14ac:dyDescent="0.35">
      <c r="A651" s="27" t="s">
        <v>455</v>
      </c>
      <c r="B651" s="27" t="s">
        <v>626</v>
      </c>
      <c r="C651" s="28" t="s">
        <v>744</v>
      </c>
    </row>
    <row r="652" spans="1:3" hidden="1" x14ac:dyDescent="0.35">
      <c r="A652" s="27" t="s">
        <v>455</v>
      </c>
      <c r="B652" s="27" t="s">
        <v>630</v>
      </c>
      <c r="C652" s="28"/>
    </row>
    <row r="653" spans="1:3" hidden="1" x14ac:dyDescent="0.35">
      <c r="A653" s="27" t="s">
        <v>456</v>
      </c>
      <c r="B653" s="27" t="s">
        <v>626</v>
      </c>
      <c r="C653" s="28" t="s">
        <v>744</v>
      </c>
    </row>
    <row r="654" spans="1:3" hidden="1" x14ac:dyDescent="0.35">
      <c r="A654" s="27" t="s">
        <v>456</v>
      </c>
      <c r="B654" s="27" t="s">
        <v>630</v>
      </c>
      <c r="C654" s="28"/>
    </row>
    <row r="655" spans="1:3" hidden="1" x14ac:dyDescent="0.35">
      <c r="A655" s="27" t="s">
        <v>457</v>
      </c>
      <c r="B655" s="27" t="s">
        <v>633</v>
      </c>
      <c r="C655" s="28" t="s">
        <v>745</v>
      </c>
    </row>
    <row r="656" spans="1:3" hidden="1" x14ac:dyDescent="0.35">
      <c r="A656" s="27" t="s">
        <v>457</v>
      </c>
      <c r="B656" s="27" t="s">
        <v>630</v>
      </c>
      <c r="C656" s="28"/>
    </row>
    <row r="657" spans="1:3" hidden="1" x14ac:dyDescent="0.35">
      <c r="A657" s="27" t="s">
        <v>458</v>
      </c>
      <c r="B657" s="27" t="s">
        <v>633</v>
      </c>
      <c r="C657" s="28" t="s">
        <v>745</v>
      </c>
    </row>
    <row r="658" spans="1:3" hidden="1" x14ac:dyDescent="0.35">
      <c r="A658" s="27" t="s">
        <v>458</v>
      </c>
      <c r="B658" s="27" t="s">
        <v>630</v>
      </c>
      <c r="C658" s="28"/>
    </row>
    <row r="659" spans="1:3" hidden="1" x14ac:dyDescent="0.35">
      <c r="A659" s="27" t="s">
        <v>459</v>
      </c>
      <c r="B659" s="27" t="s">
        <v>618</v>
      </c>
      <c r="C659" s="28"/>
    </row>
    <row r="660" spans="1:3" hidden="1" x14ac:dyDescent="0.35">
      <c r="A660" s="27" t="s">
        <v>459</v>
      </c>
      <c r="B660" s="27" t="s">
        <v>633</v>
      </c>
      <c r="C660" s="28" t="s">
        <v>746</v>
      </c>
    </row>
    <row r="661" spans="1:3" hidden="1" x14ac:dyDescent="0.35">
      <c r="A661" s="27" t="s">
        <v>461</v>
      </c>
      <c r="B661" s="27" t="s">
        <v>642</v>
      </c>
      <c r="C661" s="28"/>
    </row>
    <row r="662" spans="1:3" hidden="1" x14ac:dyDescent="0.35">
      <c r="A662" s="27" t="s">
        <v>461</v>
      </c>
      <c r="B662" s="27" t="s">
        <v>633</v>
      </c>
      <c r="C662" s="28" t="s">
        <v>747</v>
      </c>
    </row>
    <row r="663" spans="1:3" x14ac:dyDescent="0.35">
      <c r="A663" s="27" t="s">
        <v>462</v>
      </c>
      <c r="B663" s="27" t="s">
        <v>614</v>
      </c>
      <c r="C663" s="28" t="s">
        <v>643</v>
      </c>
    </row>
    <row r="664" spans="1:3" hidden="1" x14ac:dyDescent="0.35">
      <c r="A664" s="27" t="s">
        <v>463</v>
      </c>
      <c r="B664" s="27" t="s">
        <v>650</v>
      </c>
      <c r="C664" s="28"/>
    </row>
    <row r="665" spans="1:3" hidden="1" x14ac:dyDescent="0.35">
      <c r="A665" s="27" t="s">
        <v>463</v>
      </c>
      <c r="B665" s="27" t="s">
        <v>633</v>
      </c>
      <c r="C665" s="28" t="s">
        <v>745</v>
      </c>
    </row>
    <row r="666" spans="1:3" hidden="1" x14ac:dyDescent="0.35">
      <c r="A666" s="27" t="s">
        <v>464</v>
      </c>
      <c r="B666" s="27" t="s">
        <v>633</v>
      </c>
      <c r="C666" s="28" t="s">
        <v>745</v>
      </c>
    </row>
    <row r="667" spans="1:3" x14ac:dyDescent="0.35">
      <c r="A667" s="27" t="s">
        <v>465</v>
      </c>
      <c r="B667" s="27" t="s">
        <v>614</v>
      </c>
      <c r="C667" s="28" t="s">
        <v>625</v>
      </c>
    </row>
    <row r="668" spans="1:3" hidden="1" x14ac:dyDescent="0.35">
      <c r="A668" s="27" t="s">
        <v>466</v>
      </c>
      <c r="B668" s="27" t="s">
        <v>633</v>
      </c>
      <c r="C668" s="28" t="s">
        <v>745</v>
      </c>
    </row>
    <row r="669" spans="1:3" hidden="1" x14ac:dyDescent="0.35">
      <c r="A669" s="27" t="s">
        <v>467</v>
      </c>
      <c r="B669" s="27" t="s">
        <v>633</v>
      </c>
      <c r="C669" s="28" t="s">
        <v>745</v>
      </c>
    </row>
    <row r="670" spans="1:3" hidden="1" x14ac:dyDescent="0.35">
      <c r="A670" s="27" t="s">
        <v>468</v>
      </c>
      <c r="B670" s="27" t="s">
        <v>633</v>
      </c>
      <c r="C670" s="28" t="s">
        <v>745</v>
      </c>
    </row>
    <row r="671" spans="1:3" hidden="1" x14ac:dyDescent="0.35">
      <c r="A671" s="27" t="s">
        <v>468</v>
      </c>
      <c r="B671" s="27" t="s">
        <v>630</v>
      </c>
      <c r="C671" s="28"/>
    </row>
    <row r="672" spans="1:3" hidden="1" x14ac:dyDescent="0.35">
      <c r="A672" s="27" t="s">
        <v>469</v>
      </c>
      <c r="B672" s="27" t="s">
        <v>629</v>
      </c>
      <c r="C672" s="28"/>
    </row>
    <row r="673" spans="1:3" hidden="1" x14ac:dyDescent="0.35">
      <c r="A673" s="27" t="s">
        <v>470</v>
      </c>
      <c r="B673" s="27" t="s">
        <v>633</v>
      </c>
      <c r="C673" s="28" t="s">
        <v>745</v>
      </c>
    </row>
    <row r="674" spans="1:3" hidden="1" x14ac:dyDescent="0.35">
      <c r="A674" s="27" t="s">
        <v>471</v>
      </c>
      <c r="B674" s="27" t="s">
        <v>633</v>
      </c>
      <c r="C674" s="28" t="s">
        <v>745</v>
      </c>
    </row>
    <row r="675" spans="1:3" hidden="1" x14ac:dyDescent="0.35">
      <c r="A675" s="27" t="s">
        <v>472</v>
      </c>
      <c r="B675" s="27" t="s">
        <v>618</v>
      </c>
      <c r="C675" s="28"/>
    </row>
    <row r="676" spans="1:3" hidden="1" x14ac:dyDescent="0.35">
      <c r="A676" s="27" t="s">
        <v>472</v>
      </c>
      <c r="B676" s="27" t="s">
        <v>641</v>
      </c>
      <c r="C676" s="28"/>
    </row>
    <row r="677" spans="1:3" hidden="1" x14ac:dyDescent="0.35">
      <c r="A677" s="27" t="s">
        <v>472</v>
      </c>
      <c r="B677" s="27" t="s">
        <v>633</v>
      </c>
      <c r="C677" s="28" t="s">
        <v>634</v>
      </c>
    </row>
    <row r="678" spans="1:3" hidden="1" x14ac:dyDescent="0.35">
      <c r="A678" s="27" t="s">
        <v>473</v>
      </c>
      <c r="B678" s="27" t="s">
        <v>618</v>
      </c>
      <c r="C678" s="28"/>
    </row>
    <row r="679" spans="1:3" hidden="1" x14ac:dyDescent="0.35">
      <c r="A679" s="27" t="s">
        <v>473</v>
      </c>
      <c r="B679" s="27" t="s">
        <v>641</v>
      </c>
      <c r="C679" s="28"/>
    </row>
    <row r="680" spans="1:3" hidden="1" x14ac:dyDescent="0.35">
      <c r="A680" s="27" t="s">
        <v>473</v>
      </c>
      <c r="B680" s="27" t="s">
        <v>633</v>
      </c>
      <c r="C680" s="28" t="s">
        <v>745</v>
      </c>
    </row>
    <row r="681" spans="1:3" hidden="1" x14ac:dyDescent="0.35">
      <c r="A681" s="27" t="s">
        <v>474</v>
      </c>
      <c r="B681" s="27" t="s">
        <v>641</v>
      </c>
      <c r="C681" s="28"/>
    </row>
    <row r="682" spans="1:3" hidden="1" x14ac:dyDescent="0.35">
      <c r="A682" s="27" t="s">
        <v>474</v>
      </c>
      <c r="B682" s="27" t="s">
        <v>633</v>
      </c>
      <c r="C682" s="28" t="s">
        <v>745</v>
      </c>
    </row>
    <row r="683" spans="1:3" hidden="1" x14ac:dyDescent="0.35">
      <c r="A683" s="27" t="s">
        <v>474</v>
      </c>
      <c r="B683" s="27" t="s">
        <v>640</v>
      </c>
      <c r="C683" s="28"/>
    </row>
    <row r="684" spans="1:3" hidden="1" x14ac:dyDescent="0.35">
      <c r="A684" s="27" t="s">
        <v>475</v>
      </c>
      <c r="B684" s="27" t="s">
        <v>633</v>
      </c>
      <c r="C684" s="28" t="s">
        <v>747</v>
      </c>
    </row>
    <row r="685" spans="1:3" hidden="1" x14ac:dyDescent="0.35">
      <c r="A685" s="27" t="s">
        <v>476</v>
      </c>
      <c r="B685" s="27" t="s">
        <v>633</v>
      </c>
      <c r="C685" s="28" t="s">
        <v>745</v>
      </c>
    </row>
    <row r="686" spans="1:3" hidden="1" x14ac:dyDescent="0.35">
      <c r="A686" s="27" t="s">
        <v>476</v>
      </c>
      <c r="B686" s="27" t="s">
        <v>640</v>
      </c>
      <c r="C686" s="28"/>
    </row>
    <row r="687" spans="1:3" hidden="1" x14ac:dyDescent="0.35">
      <c r="A687" s="27" t="s">
        <v>477</v>
      </c>
      <c r="B687" s="27" t="s">
        <v>633</v>
      </c>
      <c r="C687" s="28" t="s">
        <v>748</v>
      </c>
    </row>
    <row r="688" spans="1:3" hidden="1" x14ac:dyDescent="0.35">
      <c r="A688" s="27" t="s">
        <v>477</v>
      </c>
      <c r="B688" s="27" t="s">
        <v>630</v>
      </c>
      <c r="C688" s="28"/>
    </row>
    <row r="689" spans="1:3" hidden="1" x14ac:dyDescent="0.35">
      <c r="A689" s="27" t="s">
        <v>478</v>
      </c>
      <c r="B689" s="27" t="s">
        <v>631</v>
      </c>
      <c r="C689" s="28"/>
    </row>
    <row r="690" spans="1:3" hidden="1" x14ac:dyDescent="0.35">
      <c r="A690" s="27" t="s">
        <v>478</v>
      </c>
      <c r="B690" s="27" t="s">
        <v>633</v>
      </c>
      <c r="C690" s="28" t="s">
        <v>745</v>
      </c>
    </row>
    <row r="691" spans="1:3" hidden="1" x14ac:dyDescent="0.35">
      <c r="A691" s="27" t="s">
        <v>479</v>
      </c>
      <c r="B691" s="27" t="s">
        <v>629</v>
      </c>
      <c r="C691" s="28"/>
    </row>
    <row r="692" spans="1:3" hidden="1" x14ac:dyDescent="0.35">
      <c r="A692" s="27" t="s">
        <v>480</v>
      </c>
      <c r="B692" s="27" t="s">
        <v>633</v>
      </c>
      <c r="C692" s="28" t="s">
        <v>745</v>
      </c>
    </row>
    <row r="693" spans="1:3" hidden="1" x14ac:dyDescent="0.35">
      <c r="A693" s="27" t="s">
        <v>480</v>
      </c>
      <c r="B693" s="27" t="s">
        <v>630</v>
      </c>
      <c r="C693" s="28"/>
    </row>
    <row r="694" spans="1:3" hidden="1" x14ac:dyDescent="0.35">
      <c r="A694" s="27" t="s">
        <v>481</v>
      </c>
      <c r="B694" s="27" t="s">
        <v>632</v>
      </c>
      <c r="C694" s="28"/>
    </row>
    <row r="695" spans="1:3" hidden="1" x14ac:dyDescent="0.35">
      <c r="A695" s="27" t="s">
        <v>481</v>
      </c>
      <c r="B695" s="27" t="s">
        <v>633</v>
      </c>
      <c r="C695" s="28" t="s">
        <v>745</v>
      </c>
    </row>
    <row r="696" spans="1:3" hidden="1" x14ac:dyDescent="0.35">
      <c r="A696" s="27" t="s">
        <v>482</v>
      </c>
      <c r="B696" s="27" t="s">
        <v>629</v>
      </c>
      <c r="C696" s="28"/>
    </row>
    <row r="697" spans="1:3" hidden="1" x14ac:dyDescent="0.35">
      <c r="A697" s="27" t="s">
        <v>482</v>
      </c>
      <c r="B697" s="27" t="s">
        <v>633</v>
      </c>
      <c r="C697" s="28" t="s">
        <v>745</v>
      </c>
    </row>
    <row r="698" spans="1:3" hidden="1" x14ac:dyDescent="0.35">
      <c r="A698" s="27" t="s">
        <v>482</v>
      </c>
      <c r="B698" s="27" t="s">
        <v>630</v>
      </c>
      <c r="C698" s="28"/>
    </row>
    <row r="699" spans="1:3" hidden="1" x14ac:dyDescent="0.35">
      <c r="A699" s="27" t="s">
        <v>483</v>
      </c>
      <c r="B699" s="27" t="s">
        <v>632</v>
      </c>
      <c r="C699" s="28"/>
    </row>
    <row r="700" spans="1:3" hidden="1" x14ac:dyDescent="0.35">
      <c r="A700" s="27" t="s">
        <v>483</v>
      </c>
      <c r="B700" s="27" t="s">
        <v>633</v>
      </c>
      <c r="C700" s="28" t="s">
        <v>745</v>
      </c>
    </row>
    <row r="701" spans="1:3" hidden="1" x14ac:dyDescent="0.35">
      <c r="A701" s="27" t="s">
        <v>484</v>
      </c>
      <c r="B701" s="27" t="s">
        <v>633</v>
      </c>
      <c r="C701" s="28" t="s">
        <v>745</v>
      </c>
    </row>
    <row r="702" spans="1:3" hidden="1" x14ac:dyDescent="0.35">
      <c r="A702" s="27" t="s">
        <v>484</v>
      </c>
      <c r="B702" s="27" t="s">
        <v>630</v>
      </c>
      <c r="C702" s="28"/>
    </row>
    <row r="703" spans="1:3" x14ac:dyDescent="0.35">
      <c r="A703" s="27" t="s">
        <v>485</v>
      </c>
      <c r="B703" s="27" t="s">
        <v>614</v>
      </c>
      <c r="C703" s="28" t="s">
        <v>625</v>
      </c>
    </row>
    <row r="704" spans="1:3" hidden="1" x14ac:dyDescent="0.35">
      <c r="A704" s="27" t="s">
        <v>485</v>
      </c>
      <c r="B704" s="27" t="s">
        <v>688</v>
      </c>
      <c r="C704" s="28"/>
    </row>
    <row r="705" spans="1:3" x14ac:dyDescent="0.35">
      <c r="A705" s="27" t="s">
        <v>486</v>
      </c>
      <c r="B705" s="27" t="s">
        <v>614</v>
      </c>
      <c r="C705" s="28" t="s">
        <v>625</v>
      </c>
    </row>
    <row r="706" spans="1:3" x14ac:dyDescent="0.35">
      <c r="A706" s="27" t="s">
        <v>486</v>
      </c>
      <c r="B706" s="27" t="s">
        <v>614</v>
      </c>
      <c r="C706" s="28" t="s">
        <v>689</v>
      </c>
    </row>
    <row r="707" spans="1:3" hidden="1" x14ac:dyDescent="0.35">
      <c r="A707" s="27" t="s">
        <v>486</v>
      </c>
      <c r="B707" s="27" t="s">
        <v>688</v>
      </c>
      <c r="C707" s="28"/>
    </row>
    <row r="708" spans="1:3" hidden="1" x14ac:dyDescent="0.35">
      <c r="A708" s="27" t="s">
        <v>487</v>
      </c>
      <c r="B708" s="27" t="s">
        <v>656</v>
      </c>
      <c r="C708" s="28" t="s">
        <v>690</v>
      </c>
    </row>
    <row r="709" spans="1:3" hidden="1" x14ac:dyDescent="0.35">
      <c r="A709" s="27" t="s">
        <v>487</v>
      </c>
      <c r="B709" s="27" t="s">
        <v>691</v>
      </c>
      <c r="C709" s="28" t="s">
        <v>692</v>
      </c>
    </row>
    <row r="710" spans="1:3" hidden="1" x14ac:dyDescent="0.35">
      <c r="A710" s="27" t="s">
        <v>487</v>
      </c>
      <c r="B710" s="27" t="s">
        <v>657</v>
      </c>
      <c r="C710" s="28" t="s">
        <v>690</v>
      </c>
    </row>
    <row r="711" spans="1:3" hidden="1" x14ac:dyDescent="0.35">
      <c r="A711" s="27" t="s">
        <v>488</v>
      </c>
      <c r="B711" s="27" t="s">
        <v>656</v>
      </c>
      <c r="C711" s="28" t="s">
        <v>690</v>
      </c>
    </row>
    <row r="712" spans="1:3" hidden="1" x14ac:dyDescent="0.35">
      <c r="A712" s="27" t="s">
        <v>488</v>
      </c>
      <c r="B712" s="27" t="s">
        <v>691</v>
      </c>
      <c r="C712" s="28" t="s">
        <v>692</v>
      </c>
    </row>
    <row r="713" spans="1:3" hidden="1" x14ac:dyDescent="0.35">
      <c r="A713" s="27" t="s">
        <v>488</v>
      </c>
      <c r="B713" s="27" t="s">
        <v>657</v>
      </c>
      <c r="C713" s="28" t="s">
        <v>690</v>
      </c>
    </row>
    <row r="714" spans="1:3" hidden="1" x14ac:dyDescent="0.35">
      <c r="A714" s="27" t="s">
        <v>489</v>
      </c>
      <c r="B714" s="27" t="s">
        <v>656</v>
      </c>
      <c r="C714" s="28" t="s">
        <v>690</v>
      </c>
    </row>
    <row r="715" spans="1:3" hidden="1" x14ac:dyDescent="0.35">
      <c r="A715" s="27" t="s">
        <v>489</v>
      </c>
      <c r="B715" s="27" t="s">
        <v>715</v>
      </c>
      <c r="C715" s="28"/>
    </row>
    <row r="716" spans="1:3" hidden="1" x14ac:dyDescent="0.35">
      <c r="A716" s="27" t="s">
        <v>489</v>
      </c>
      <c r="B716" s="27" t="s">
        <v>691</v>
      </c>
      <c r="C716" s="28" t="s">
        <v>692</v>
      </c>
    </row>
    <row r="717" spans="1:3" hidden="1" x14ac:dyDescent="0.35">
      <c r="A717" s="27" t="s">
        <v>489</v>
      </c>
      <c r="B717" s="27" t="s">
        <v>657</v>
      </c>
      <c r="C717" s="28" t="s">
        <v>690</v>
      </c>
    </row>
    <row r="718" spans="1:3" hidden="1" x14ac:dyDescent="0.35">
      <c r="A718" s="27" t="s">
        <v>490</v>
      </c>
      <c r="B718" s="27" t="s">
        <v>656</v>
      </c>
      <c r="C718" s="28" t="s">
        <v>690</v>
      </c>
    </row>
    <row r="719" spans="1:3" hidden="1" x14ac:dyDescent="0.35">
      <c r="A719" s="27" t="s">
        <v>490</v>
      </c>
      <c r="B719" s="27" t="s">
        <v>691</v>
      </c>
      <c r="C719" s="28" t="s">
        <v>692</v>
      </c>
    </row>
    <row r="720" spans="1:3" hidden="1" x14ac:dyDescent="0.35">
      <c r="A720" s="27" t="s">
        <v>490</v>
      </c>
      <c r="B720" s="27" t="s">
        <v>657</v>
      </c>
      <c r="C720" s="28" t="s">
        <v>690</v>
      </c>
    </row>
    <row r="721" spans="1:3" hidden="1" x14ac:dyDescent="0.35">
      <c r="A721" s="27" t="s">
        <v>492</v>
      </c>
      <c r="B721" s="27" t="s">
        <v>656</v>
      </c>
      <c r="C721" s="28" t="s">
        <v>690</v>
      </c>
    </row>
    <row r="722" spans="1:3" hidden="1" x14ac:dyDescent="0.35">
      <c r="A722" s="27" t="s">
        <v>492</v>
      </c>
      <c r="B722" s="27" t="s">
        <v>691</v>
      </c>
      <c r="C722" s="28" t="s">
        <v>692</v>
      </c>
    </row>
    <row r="723" spans="1:3" hidden="1" x14ac:dyDescent="0.35">
      <c r="A723" s="27" t="s">
        <v>492</v>
      </c>
      <c r="B723" s="27" t="s">
        <v>657</v>
      </c>
      <c r="C723" s="28" t="s">
        <v>690</v>
      </c>
    </row>
    <row r="724" spans="1:3" hidden="1" x14ac:dyDescent="0.35">
      <c r="A724" s="27" t="s">
        <v>492</v>
      </c>
      <c r="B724" s="27" t="s">
        <v>630</v>
      </c>
      <c r="C724" s="28"/>
    </row>
    <row r="725" spans="1:3" hidden="1" x14ac:dyDescent="0.35">
      <c r="A725" s="27" t="s">
        <v>493</v>
      </c>
      <c r="B725" s="27" t="s">
        <v>631</v>
      </c>
      <c r="C725" s="28"/>
    </row>
    <row r="726" spans="1:3" hidden="1" x14ac:dyDescent="0.35">
      <c r="A726" s="27" t="s">
        <v>493</v>
      </c>
      <c r="B726" s="27" t="s">
        <v>656</v>
      </c>
      <c r="C726" s="28" t="s">
        <v>690</v>
      </c>
    </row>
    <row r="727" spans="1:3" hidden="1" x14ac:dyDescent="0.35">
      <c r="A727" s="27" t="s">
        <v>493</v>
      </c>
      <c r="B727" s="27" t="s">
        <v>691</v>
      </c>
      <c r="C727" s="28" t="s">
        <v>692</v>
      </c>
    </row>
    <row r="728" spans="1:3" hidden="1" x14ac:dyDescent="0.35">
      <c r="A728" s="27" t="s">
        <v>493</v>
      </c>
      <c r="B728" s="27" t="s">
        <v>657</v>
      </c>
      <c r="C728" s="28" t="s">
        <v>690</v>
      </c>
    </row>
    <row r="729" spans="1:3" hidden="1" x14ac:dyDescent="0.35">
      <c r="A729" s="27" t="s">
        <v>494</v>
      </c>
      <c r="B729" s="27" t="s">
        <v>631</v>
      </c>
      <c r="C729" s="28"/>
    </row>
    <row r="730" spans="1:3" hidden="1" x14ac:dyDescent="0.35">
      <c r="A730" s="27" t="s">
        <v>494</v>
      </c>
      <c r="B730" s="27" t="s">
        <v>656</v>
      </c>
      <c r="C730" s="28" t="s">
        <v>690</v>
      </c>
    </row>
    <row r="731" spans="1:3" hidden="1" x14ac:dyDescent="0.35">
      <c r="A731" s="27" t="s">
        <v>494</v>
      </c>
      <c r="B731" s="27" t="s">
        <v>691</v>
      </c>
      <c r="C731" s="28" t="s">
        <v>692</v>
      </c>
    </row>
    <row r="732" spans="1:3" hidden="1" x14ac:dyDescent="0.35">
      <c r="A732" s="27" t="s">
        <v>494</v>
      </c>
      <c r="B732" s="27" t="s">
        <v>657</v>
      </c>
      <c r="C732" s="28" t="s">
        <v>690</v>
      </c>
    </row>
    <row r="733" spans="1:3" hidden="1" x14ac:dyDescent="0.35">
      <c r="A733" s="27" t="s">
        <v>495</v>
      </c>
      <c r="B733" s="27" t="s">
        <v>656</v>
      </c>
      <c r="C733" s="28" t="s">
        <v>690</v>
      </c>
    </row>
    <row r="734" spans="1:3" hidden="1" x14ac:dyDescent="0.35">
      <c r="A734" s="27" t="s">
        <v>495</v>
      </c>
      <c r="B734" s="27" t="s">
        <v>629</v>
      </c>
      <c r="C734" s="28"/>
    </row>
    <row r="735" spans="1:3" hidden="1" x14ac:dyDescent="0.35">
      <c r="A735" s="27" t="s">
        <v>495</v>
      </c>
      <c r="B735" s="27" t="s">
        <v>691</v>
      </c>
      <c r="C735" s="28" t="s">
        <v>692</v>
      </c>
    </row>
    <row r="736" spans="1:3" hidden="1" x14ac:dyDescent="0.35">
      <c r="A736" s="27" t="s">
        <v>495</v>
      </c>
      <c r="B736" s="27" t="s">
        <v>657</v>
      </c>
      <c r="C736" s="28" t="s">
        <v>690</v>
      </c>
    </row>
    <row r="737" spans="1:3" hidden="1" x14ac:dyDescent="0.35">
      <c r="A737" s="27" t="s">
        <v>496</v>
      </c>
      <c r="B737" s="27" t="s">
        <v>632</v>
      </c>
      <c r="C737" s="28"/>
    </row>
    <row r="738" spans="1:3" hidden="1" x14ac:dyDescent="0.35">
      <c r="A738" s="27" t="s">
        <v>496</v>
      </c>
      <c r="B738" s="27" t="s">
        <v>656</v>
      </c>
      <c r="C738" s="28" t="s">
        <v>690</v>
      </c>
    </row>
    <row r="739" spans="1:3" hidden="1" x14ac:dyDescent="0.35">
      <c r="A739" s="27" t="s">
        <v>496</v>
      </c>
      <c r="B739" s="27" t="s">
        <v>691</v>
      </c>
      <c r="C739" s="28" t="s">
        <v>692</v>
      </c>
    </row>
    <row r="740" spans="1:3" hidden="1" x14ac:dyDescent="0.35">
      <c r="A740" s="27" t="s">
        <v>496</v>
      </c>
      <c r="B740" s="27" t="s">
        <v>657</v>
      </c>
      <c r="C740" s="28" t="s">
        <v>690</v>
      </c>
    </row>
    <row r="741" spans="1:3" hidden="1" x14ac:dyDescent="0.35">
      <c r="A741" s="27" t="s">
        <v>497</v>
      </c>
      <c r="B741" s="27" t="s">
        <v>656</v>
      </c>
      <c r="C741" s="28" t="s">
        <v>690</v>
      </c>
    </row>
    <row r="742" spans="1:3" hidden="1" x14ac:dyDescent="0.35">
      <c r="A742" s="27" t="s">
        <v>497</v>
      </c>
      <c r="B742" s="27" t="s">
        <v>629</v>
      </c>
      <c r="C742" s="28"/>
    </row>
    <row r="743" spans="1:3" hidden="1" x14ac:dyDescent="0.35">
      <c r="A743" s="27" t="s">
        <v>497</v>
      </c>
      <c r="B743" s="27" t="s">
        <v>691</v>
      </c>
      <c r="C743" s="28" t="s">
        <v>692</v>
      </c>
    </row>
    <row r="744" spans="1:3" hidden="1" x14ac:dyDescent="0.35">
      <c r="A744" s="27" t="s">
        <v>497</v>
      </c>
      <c r="B744" s="27" t="s">
        <v>657</v>
      </c>
      <c r="C744" s="28" t="s">
        <v>690</v>
      </c>
    </row>
    <row r="745" spans="1:3" hidden="1" x14ac:dyDescent="0.35">
      <c r="A745" s="27" t="s">
        <v>497</v>
      </c>
      <c r="B745" s="27" t="s">
        <v>630</v>
      </c>
      <c r="C745" s="28"/>
    </row>
    <row r="746" spans="1:3" hidden="1" x14ac:dyDescent="0.35">
      <c r="A746" s="27" t="s">
        <v>498</v>
      </c>
      <c r="B746" s="27" t="s">
        <v>632</v>
      </c>
      <c r="C746" s="28"/>
    </row>
    <row r="747" spans="1:3" hidden="1" x14ac:dyDescent="0.35">
      <c r="A747" s="27" t="s">
        <v>498</v>
      </c>
      <c r="B747" s="27" t="s">
        <v>656</v>
      </c>
      <c r="C747" s="28" t="s">
        <v>690</v>
      </c>
    </row>
    <row r="748" spans="1:3" hidden="1" x14ac:dyDescent="0.35">
      <c r="A748" s="27" t="s">
        <v>498</v>
      </c>
      <c r="B748" s="27" t="s">
        <v>691</v>
      </c>
      <c r="C748" s="28" t="s">
        <v>692</v>
      </c>
    </row>
    <row r="749" spans="1:3" hidden="1" x14ac:dyDescent="0.35">
      <c r="A749" s="27" t="s">
        <v>498</v>
      </c>
      <c r="B749" s="27" t="s">
        <v>657</v>
      </c>
      <c r="C749" s="28" t="s">
        <v>690</v>
      </c>
    </row>
    <row r="750" spans="1:3" hidden="1" x14ac:dyDescent="0.35">
      <c r="A750" s="27" t="s">
        <v>499</v>
      </c>
      <c r="B750" s="27" t="s">
        <v>656</v>
      </c>
      <c r="C750" s="28" t="s">
        <v>690</v>
      </c>
    </row>
    <row r="751" spans="1:3" hidden="1" x14ac:dyDescent="0.35">
      <c r="A751" s="27" t="s">
        <v>499</v>
      </c>
      <c r="B751" s="27" t="s">
        <v>629</v>
      </c>
      <c r="C751" s="28"/>
    </row>
    <row r="752" spans="1:3" hidden="1" x14ac:dyDescent="0.35">
      <c r="A752" s="27" t="s">
        <v>499</v>
      </c>
      <c r="B752" s="27" t="s">
        <v>691</v>
      </c>
      <c r="C752" s="28" t="s">
        <v>692</v>
      </c>
    </row>
    <row r="753" spans="1:3" hidden="1" x14ac:dyDescent="0.35">
      <c r="A753" s="27" t="s">
        <v>499</v>
      </c>
      <c r="B753" s="27" t="s">
        <v>657</v>
      </c>
      <c r="C753" s="28" t="s">
        <v>690</v>
      </c>
    </row>
    <row r="754" spans="1:3" hidden="1" x14ac:dyDescent="0.35">
      <c r="A754" s="27" t="s">
        <v>500</v>
      </c>
      <c r="B754" s="27" t="s">
        <v>656</v>
      </c>
      <c r="C754" s="28" t="s">
        <v>690</v>
      </c>
    </row>
    <row r="755" spans="1:3" hidden="1" x14ac:dyDescent="0.35">
      <c r="A755" s="27" t="s">
        <v>500</v>
      </c>
      <c r="B755" s="27" t="s">
        <v>691</v>
      </c>
      <c r="C755" s="28" t="s">
        <v>692</v>
      </c>
    </row>
    <row r="756" spans="1:3" hidden="1" x14ac:dyDescent="0.35">
      <c r="A756" s="27" t="s">
        <v>500</v>
      </c>
      <c r="B756" s="27" t="s">
        <v>657</v>
      </c>
      <c r="C756" s="28" t="s">
        <v>690</v>
      </c>
    </row>
    <row r="757" spans="1:3" hidden="1" x14ac:dyDescent="0.35">
      <c r="A757" s="27" t="s">
        <v>500</v>
      </c>
      <c r="B757" s="27" t="s">
        <v>630</v>
      </c>
      <c r="C757" s="28"/>
    </row>
    <row r="758" spans="1:3" hidden="1" x14ac:dyDescent="0.35">
      <c r="A758" s="27" t="s">
        <v>501</v>
      </c>
      <c r="B758" s="27" t="s">
        <v>656</v>
      </c>
      <c r="C758" s="28" t="s">
        <v>690</v>
      </c>
    </row>
    <row r="759" spans="1:3" hidden="1" x14ac:dyDescent="0.35">
      <c r="A759" s="27" t="s">
        <v>501</v>
      </c>
      <c r="B759" s="27" t="s">
        <v>691</v>
      </c>
      <c r="C759" s="28" t="s">
        <v>692</v>
      </c>
    </row>
    <row r="760" spans="1:3" hidden="1" x14ac:dyDescent="0.35">
      <c r="A760" s="27" t="s">
        <v>501</v>
      </c>
      <c r="B760" s="27" t="s">
        <v>657</v>
      </c>
      <c r="C760" s="28" t="s">
        <v>690</v>
      </c>
    </row>
    <row r="761" spans="1:3" hidden="1" x14ac:dyDescent="0.35">
      <c r="A761" s="27" t="s">
        <v>501</v>
      </c>
      <c r="B761" s="27" t="s">
        <v>630</v>
      </c>
      <c r="C761" s="28"/>
    </row>
    <row r="762" spans="1:3" hidden="1" x14ac:dyDescent="0.35">
      <c r="A762" s="27" t="s">
        <v>502</v>
      </c>
      <c r="B762" s="27" t="s">
        <v>694</v>
      </c>
      <c r="C762" s="28"/>
    </row>
    <row r="763" spans="1:3" hidden="1" x14ac:dyDescent="0.35">
      <c r="A763" s="27" t="s">
        <v>502</v>
      </c>
      <c r="B763" s="27" t="s">
        <v>691</v>
      </c>
      <c r="C763" s="28" t="s">
        <v>692</v>
      </c>
    </row>
    <row r="764" spans="1:3" hidden="1" x14ac:dyDescent="0.35">
      <c r="A764" s="27" t="s">
        <v>503</v>
      </c>
      <c r="B764" s="27" t="s">
        <v>629</v>
      </c>
      <c r="C764" s="28"/>
    </row>
    <row r="765" spans="1:3" hidden="1" x14ac:dyDescent="0.35">
      <c r="A765" s="27" t="s">
        <v>503</v>
      </c>
      <c r="B765" s="27" t="s">
        <v>694</v>
      </c>
      <c r="C765" s="28" t="s">
        <v>749</v>
      </c>
    </row>
    <row r="766" spans="1:3" hidden="1" x14ac:dyDescent="0.35">
      <c r="A766" s="27" t="s">
        <v>504</v>
      </c>
      <c r="B766" s="27" t="s">
        <v>629</v>
      </c>
      <c r="C766" s="28"/>
    </row>
    <row r="767" spans="1:3" hidden="1" x14ac:dyDescent="0.35">
      <c r="A767" s="27" t="s">
        <v>504</v>
      </c>
      <c r="B767" s="27" t="s">
        <v>694</v>
      </c>
      <c r="C767" s="28" t="s">
        <v>749</v>
      </c>
    </row>
    <row r="768" spans="1:3" hidden="1" x14ac:dyDescent="0.35">
      <c r="A768" s="27" t="s">
        <v>505</v>
      </c>
      <c r="B768" s="27" t="s">
        <v>694</v>
      </c>
      <c r="C768" s="28" t="s">
        <v>749</v>
      </c>
    </row>
    <row r="769" spans="1:3" hidden="1" x14ac:dyDescent="0.35">
      <c r="A769" s="27" t="s">
        <v>505</v>
      </c>
      <c r="B769" s="27" t="s">
        <v>630</v>
      </c>
      <c r="C769" s="28"/>
    </row>
    <row r="770" spans="1:3" hidden="1" x14ac:dyDescent="0.35">
      <c r="A770" s="27" t="s">
        <v>506</v>
      </c>
      <c r="B770" s="27" t="s">
        <v>694</v>
      </c>
      <c r="C770" s="28" t="s">
        <v>749</v>
      </c>
    </row>
    <row r="771" spans="1:3" hidden="1" x14ac:dyDescent="0.35">
      <c r="A771" s="27" t="s">
        <v>506</v>
      </c>
      <c r="B771" s="27" t="s">
        <v>630</v>
      </c>
      <c r="C771" s="28"/>
    </row>
    <row r="772" spans="1:3" hidden="1" x14ac:dyDescent="0.35">
      <c r="A772" s="27" t="s">
        <v>507</v>
      </c>
      <c r="B772" s="27" t="s">
        <v>630</v>
      </c>
      <c r="C772" s="28"/>
    </row>
    <row r="773" spans="1:3" hidden="1" x14ac:dyDescent="0.35">
      <c r="A773" s="27" t="s">
        <v>508</v>
      </c>
      <c r="B773" s="27" t="s">
        <v>640</v>
      </c>
      <c r="C773" s="28"/>
    </row>
    <row r="774" spans="1:3" hidden="1" x14ac:dyDescent="0.35">
      <c r="A774" s="27" t="s">
        <v>508</v>
      </c>
      <c r="B774" s="27" t="s">
        <v>697</v>
      </c>
      <c r="C774" s="28"/>
    </row>
    <row r="775" spans="1:3" hidden="1" x14ac:dyDescent="0.35">
      <c r="A775" s="27" t="s">
        <v>509</v>
      </c>
      <c r="B775" s="27" t="s">
        <v>640</v>
      </c>
      <c r="C775" s="28"/>
    </row>
    <row r="776" spans="1:3" hidden="1" x14ac:dyDescent="0.35">
      <c r="A776" s="27" t="s">
        <v>509</v>
      </c>
      <c r="B776" s="27" t="s">
        <v>697</v>
      </c>
      <c r="C776" s="28"/>
    </row>
    <row r="777" spans="1:3" hidden="1" x14ac:dyDescent="0.35">
      <c r="A777" s="27" t="s">
        <v>510</v>
      </c>
      <c r="B777" s="27" t="s">
        <v>640</v>
      </c>
      <c r="C777" s="28"/>
    </row>
    <row r="778" spans="1:3" hidden="1" x14ac:dyDescent="0.35">
      <c r="A778" s="27" t="s">
        <v>510</v>
      </c>
      <c r="B778" s="27" t="s">
        <v>697</v>
      </c>
      <c r="C778" s="28"/>
    </row>
    <row r="779" spans="1:3" hidden="1" x14ac:dyDescent="0.35">
      <c r="A779" s="27" t="s">
        <v>511</v>
      </c>
      <c r="B779" s="27" t="s">
        <v>640</v>
      </c>
      <c r="C779" s="28"/>
    </row>
    <row r="780" spans="1:3" hidden="1" x14ac:dyDescent="0.35">
      <c r="A780" s="27" t="s">
        <v>511</v>
      </c>
      <c r="B780" s="27" t="s">
        <v>697</v>
      </c>
      <c r="C780" s="28"/>
    </row>
    <row r="781" spans="1:3" hidden="1" x14ac:dyDescent="0.35">
      <c r="A781" s="27" t="s">
        <v>512</v>
      </c>
      <c r="B781" s="27" t="s">
        <v>640</v>
      </c>
      <c r="C781" s="28"/>
    </row>
    <row r="782" spans="1:3" hidden="1" x14ac:dyDescent="0.35">
      <c r="A782" s="27" t="s">
        <v>512</v>
      </c>
      <c r="B782" s="27" t="s">
        <v>697</v>
      </c>
      <c r="C782" s="28"/>
    </row>
    <row r="783" spans="1:3" hidden="1" x14ac:dyDescent="0.35">
      <c r="A783" s="27" t="s">
        <v>514</v>
      </c>
      <c r="B783" s="27" t="s">
        <v>618</v>
      </c>
      <c r="C783" s="28"/>
    </row>
    <row r="784" spans="1:3" hidden="1" x14ac:dyDescent="0.35">
      <c r="A784" s="27" t="s">
        <v>514</v>
      </c>
      <c r="B784" s="27" t="s">
        <v>641</v>
      </c>
      <c r="C784" s="28"/>
    </row>
    <row r="785" spans="1:3" hidden="1" x14ac:dyDescent="0.35">
      <c r="A785" s="27" t="s">
        <v>514</v>
      </c>
      <c r="B785" s="27" t="s">
        <v>630</v>
      </c>
      <c r="C785" s="28"/>
    </row>
    <row r="786" spans="1:3" x14ac:dyDescent="0.35">
      <c r="A786" s="27" t="s">
        <v>515</v>
      </c>
      <c r="B786" s="27" t="s">
        <v>614</v>
      </c>
      <c r="C786" s="28" t="s">
        <v>698</v>
      </c>
    </row>
    <row r="787" spans="1:3" hidden="1" x14ac:dyDescent="0.35">
      <c r="A787" s="27" t="s">
        <v>515</v>
      </c>
      <c r="B787" s="27" t="s">
        <v>691</v>
      </c>
      <c r="C787" s="28" t="s">
        <v>750</v>
      </c>
    </row>
    <row r="788" spans="1:3" hidden="1" x14ac:dyDescent="0.35">
      <c r="A788" s="27" t="s">
        <v>515</v>
      </c>
      <c r="B788" s="27" t="s">
        <v>700</v>
      </c>
      <c r="C788" s="28" t="s">
        <v>750</v>
      </c>
    </row>
    <row r="789" spans="1:3" x14ac:dyDescent="0.35">
      <c r="A789" s="27" t="s">
        <v>517</v>
      </c>
      <c r="B789" s="27" t="s">
        <v>614</v>
      </c>
      <c r="C789" s="28" t="s">
        <v>701</v>
      </c>
    </row>
    <row r="790" spans="1:3" hidden="1" x14ac:dyDescent="0.35">
      <c r="A790" s="27" t="s">
        <v>517</v>
      </c>
      <c r="B790" s="27" t="s">
        <v>630</v>
      </c>
      <c r="C790" s="28"/>
    </row>
    <row r="791" spans="1:3" hidden="1" x14ac:dyDescent="0.35">
      <c r="A791" s="27" t="s">
        <v>517</v>
      </c>
      <c r="B791" s="27" t="s">
        <v>700</v>
      </c>
      <c r="C791" s="28" t="s">
        <v>702</v>
      </c>
    </row>
    <row r="792" spans="1:3" x14ac:dyDescent="0.35">
      <c r="A792" s="27" t="s">
        <v>518</v>
      </c>
      <c r="B792" s="27" t="s">
        <v>614</v>
      </c>
      <c r="C792" s="28" t="s">
        <v>625</v>
      </c>
    </row>
    <row r="793" spans="1:3" x14ac:dyDescent="0.35">
      <c r="A793" s="27" t="s">
        <v>518</v>
      </c>
      <c r="B793" s="27" t="s">
        <v>614</v>
      </c>
      <c r="C793" s="28" t="s">
        <v>701</v>
      </c>
    </row>
    <row r="794" spans="1:3" hidden="1" x14ac:dyDescent="0.35">
      <c r="A794" s="27" t="s">
        <v>518</v>
      </c>
      <c r="B794" s="27" t="s">
        <v>630</v>
      </c>
      <c r="C794" s="28"/>
    </row>
    <row r="795" spans="1:3" hidden="1" x14ac:dyDescent="0.35">
      <c r="A795" s="27" t="s">
        <v>518</v>
      </c>
      <c r="B795" s="27" t="s">
        <v>700</v>
      </c>
      <c r="C795" s="28" t="s">
        <v>702</v>
      </c>
    </row>
    <row r="796" spans="1:3" x14ac:dyDescent="0.35">
      <c r="A796" s="27" t="s">
        <v>519</v>
      </c>
      <c r="B796" s="27" t="s">
        <v>614</v>
      </c>
      <c r="C796" s="28" t="s">
        <v>701</v>
      </c>
    </row>
    <row r="797" spans="1:3" hidden="1" x14ac:dyDescent="0.35">
      <c r="A797" s="27" t="s">
        <v>519</v>
      </c>
      <c r="B797" s="27" t="s">
        <v>630</v>
      </c>
      <c r="C797" s="28"/>
    </row>
    <row r="798" spans="1:3" hidden="1" x14ac:dyDescent="0.35">
      <c r="A798" s="27" t="s">
        <v>519</v>
      </c>
      <c r="B798" s="27" t="s">
        <v>700</v>
      </c>
      <c r="C798" s="28" t="s">
        <v>702</v>
      </c>
    </row>
    <row r="799" spans="1:3" x14ac:dyDescent="0.35">
      <c r="A799" s="27" t="s">
        <v>520</v>
      </c>
      <c r="B799" s="27" t="s">
        <v>614</v>
      </c>
      <c r="C799" s="28" t="s">
        <v>701</v>
      </c>
    </row>
    <row r="800" spans="1:3" hidden="1" x14ac:dyDescent="0.35">
      <c r="A800" s="27" t="s">
        <v>520</v>
      </c>
      <c r="B800" s="27" t="s">
        <v>630</v>
      </c>
      <c r="C800" s="28"/>
    </row>
    <row r="801" spans="1:3" hidden="1" x14ac:dyDescent="0.35">
      <c r="A801" s="27" t="s">
        <v>520</v>
      </c>
      <c r="B801" s="27" t="s">
        <v>700</v>
      </c>
      <c r="C801" s="28" t="s">
        <v>702</v>
      </c>
    </row>
    <row r="802" spans="1:3" x14ac:dyDescent="0.35">
      <c r="A802" s="27" t="s">
        <v>521</v>
      </c>
      <c r="B802" s="27" t="s">
        <v>614</v>
      </c>
      <c r="C802" s="28" t="s">
        <v>701</v>
      </c>
    </row>
    <row r="803" spans="1:3" hidden="1" x14ac:dyDescent="0.35">
      <c r="A803" s="27" t="s">
        <v>521</v>
      </c>
      <c r="B803" s="27" t="s">
        <v>630</v>
      </c>
      <c r="C803" s="28"/>
    </row>
    <row r="804" spans="1:3" hidden="1" x14ac:dyDescent="0.35">
      <c r="A804" s="27" t="s">
        <v>521</v>
      </c>
      <c r="B804" s="27" t="s">
        <v>700</v>
      </c>
      <c r="C804" s="28" t="s">
        <v>702</v>
      </c>
    </row>
    <row r="805" spans="1:3" x14ac:dyDescent="0.35">
      <c r="A805" s="27" t="s">
        <v>522</v>
      </c>
      <c r="B805" s="27" t="s">
        <v>614</v>
      </c>
      <c r="C805" s="28" t="s">
        <v>703</v>
      </c>
    </row>
    <row r="806" spans="1:3" hidden="1" x14ac:dyDescent="0.35">
      <c r="A806" s="27" t="s">
        <v>522</v>
      </c>
      <c r="B806" s="27" t="s">
        <v>691</v>
      </c>
      <c r="C806" s="28" t="s">
        <v>750</v>
      </c>
    </row>
    <row r="807" spans="1:3" hidden="1" x14ac:dyDescent="0.35">
      <c r="A807" s="27" t="s">
        <v>522</v>
      </c>
      <c r="B807" s="27" t="s">
        <v>630</v>
      </c>
      <c r="C807" s="28"/>
    </row>
    <row r="808" spans="1:3" hidden="1" x14ac:dyDescent="0.35">
      <c r="A808" s="27" t="s">
        <v>522</v>
      </c>
      <c r="B808" s="27" t="s">
        <v>700</v>
      </c>
      <c r="C808" s="28" t="s">
        <v>750</v>
      </c>
    </row>
    <row r="809" spans="1:3" hidden="1" x14ac:dyDescent="0.35">
      <c r="A809" s="27" t="s">
        <v>523</v>
      </c>
      <c r="B809" s="27" t="s">
        <v>751</v>
      </c>
      <c r="C809" s="28"/>
    </row>
    <row r="810" spans="1:3" hidden="1" x14ac:dyDescent="0.35">
      <c r="A810" s="27" t="s">
        <v>525</v>
      </c>
      <c r="B810" s="27" t="s">
        <v>752</v>
      </c>
      <c r="C810" s="28" t="s">
        <v>753</v>
      </c>
    </row>
    <row r="811" spans="1:3" hidden="1" x14ac:dyDescent="0.35">
      <c r="A811" s="27" t="s">
        <v>525</v>
      </c>
      <c r="B811" s="27" t="s">
        <v>751</v>
      </c>
      <c r="C811" s="28" t="s">
        <v>753</v>
      </c>
    </row>
    <row r="812" spans="1:3" hidden="1" x14ac:dyDescent="0.35">
      <c r="A812" s="27" t="s">
        <v>527</v>
      </c>
      <c r="B812" s="27" t="s">
        <v>752</v>
      </c>
      <c r="C812" s="28" t="s">
        <v>753</v>
      </c>
    </row>
    <row r="813" spans="1:3" hidden="1" x14ac:dyDescent="0.35">
      <c r="A813" s="27" t="s">
        <v>527</v>
      </c>
      <c r="B813" s="27" t="s">
        <v>751</v>
      </c>
      <c r="C813" s="28" t="s">
        <v>753</v>
      </c>
    </row>
    <row r="814" spans="1:3" hidden="1" x14ac:dyDescent="0.35">
      <c r="A814" s="27" t="s">
        <v>529</v>
      </c>
      <c r="B814" s="27" t="s">
        <v>754</v>
      </c>
      <c r="C814" s="28"/>
    </row>
    <row r="815" spans="1:3" hidden="1" x14ac:dyDescent="0.35">
      <c r="A815" s="27" t="s">
        <v>531</v>
      </c>
      <c r="B815" s="27" t="s">
        <v>641</v>
      </c>
      <c r="C815" s="28"/>
    </row>
    <row r="816" spans="1:3" hidden="1" x14ac:dyDescent="0.35">
      <c r="A816" s="27" t="s">
        <v>533</v>
      </c>
      <c r="B816" s="27" t="s">
        <v>752</v>
      </c>
      <c r="C816" s="28" t="s">
        <v>753</v>
      </c>
    </row>
    <row r="817" spans="1:3" hidden="1" x14ac:dyDescent="0.35">
      <c r="A817" s="27" t="s">
        <v>533</v>
      </c>
      <c r="B817" s="27" t="s">
        <v>751</v>
      </c>
      <c r="C817" s="28" t="s">
        <v>753</v>
      </c>
    </row>
    <row r="818" spans="1:3" hidden="1" x14ac:dyDescent="0.35">
      <c r="A818" s="27" t="s">
        <v>535</v>
      </c>
      <c r="B818" s="27" t="s">
        <v>752</v>
      </c>
      <c r="C818" s="28"/>
    </row>
  </sheetData>
  <autoFilter ref="A6:C818" xr:uid="{00000000-0009-0000-0000-000003000000}">
    <filterColumn colId="1">
      <filters>
        <filter val="dlk.genesys_session_summary"/>
      </filters>
    </filterColumn>
  </autoFilter>
  <mergeCells count="1">
    <mergeCell ref="A2:C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6"/>
  <sheetViews>
    <sheetView zoomScaleNormal="100" workbookViewId="0"/>
  </sheetViews>
  <sheetFormatPr defaultColWidth="8.6328125" defaultRowHeight="14.5" x14ac:dyDescent="0.35"/>
  <cols>
    <col min="1" max="1" width="26" customWidth="1"/>
    <col min="2" max="2" width="86" customWidth="1"/>
    <col min="3" max="4" width="26" customWidth="1"/>
  </cols>
  <sheetData>
    <row r="1" spans="1:4" ht="15" customHeight="1" x14ac:dyDescent="0.35">
      <c r="A1" s="29" t="s">
        <v>755</v>
      </c>
    </row>
    <row r="2" spans="1:4" ht="15" customHeight="1" x14ac:dyDescent="0.35">
      <c r="A2" s="34" t="s">
        <v>756</v>
      </c>
      <c r="B2" s="34"/>
      <c r="C2" s="34"/>
      <c r="D2" s="34"/>
    </row>
    <row r="3" spans="1:4" ht="15" customHeight="1" x14ac:dyDescent="0.35">
      <c r="A3" s="34"/>
      <c r="B3" s="34"/>
      <c r="C3" s="34"/>
      <c r="D3" s="34"/>
    </row>
    <row r="5" spans="1:4" ht="15" customHeight="1" x14ac:dyDescent="0.35">
      <c r="A5" s="30" t="s">
        <v>2</v>
      </c>
      <c r="B5" s="30" t="s">
        <v>757</v>
      </c>
    </row>
    <row r="6" spans="1:4" ht="15" customHeight="1" x14ac:dyDescent="0.35">
      <c r="A6" s="31" t="s">
        <v>8</v>
      </c>
      <c r="B6" s="1" t="s">
        <v>758</v>
      </c>
    </row>
    <row r="7" spans="1:4" ht="15" customHeight="1" x14ac:dyDescent="0.35">
      <c r="A7" s="31" t="s">
        <v>9</v>
      </c>
      <c r="B7" s="1" t="s">
        <v>759</v>
      </c>
    </row>
    <row r="8" spans="1:4" ht="15" customHeight="1" x14ac:dyDescent="0.35">
      <c r="A8" s="31" t="s">
        <v>10</v>
      </c>
      <c r="B8" s="1" t="s">
        <v>760</v>
      </c>
    </row>
    <row r="9" spans="1:4" ht="15" customHeight="1" x14ac:dyDescent="0.35">
      <c r="A9" s="31" t="s">
        <v>11</v>
      </c>
      <c r="B9" s="1" t="s">
        <v>761</v>
      </c>
    </row>
    <row r="10" spans="1:4" ht="15" customHeight="1" x14ac:dyDescent="0.35">
      <c r="A10" s="31" t="s">
        <v>12</v>
      </c>
      <c r="B10" s="1" t="s">
        <v>762</v>
      </c>
    </row>
    <row r="11" spans="1:4" ht="15" customHeight="1" x14ac:dyDescent="0.35">
      <c r="A11" s="31" t="s">
        <v>13</v>
      </c>
      <c r="B11" s="1" t="s">
        <v>763</v>
      </c>
    </row>
    <row r="12" spans="1:4" ht="15" customHeight="1" x14ac:dyDescent="0.35">
      <c r="A12" s="31" t="s">
        <v>14</v>
      </c>
      <c r="B12" s="1" t="s">
        <v>764</v>
      </c>
    </row>
    <row r="13" spans="1:4" ht="15" customHeight="1" x14ac:dyDescent="0.35">
      <c r="A13" s="31" t="s">
        <v>15</v>
      </c>
      <c r="B13" s="1" t="s">
        <v>765</v>
      </c>
    </row>
    <row r="16" spans="1:4" ht="15" customHeight="1" x14ac:dyDescent="0.35">
      <c r="A16" s="30" t="s">
        <v>3</v>
      </c>
      <c r="B16" s="30" t="s">
        <v>766</v>
      </c>
    </row>
    <row r="17" spans="1:4" ht="15" customHeight="1" x14ac:dyDescent="0.35">
      <c r="A17" s="31" t="s">
        <v>16</v>
      </c>
      <c r="B17" s="1" t="s">
        <v>767</v>
      </c>
    </row>
    <row r="18" spans="1:4" ht="23.25" customHeight="1" x14ac:dyDescent="0.35">
      <c r="A18" s="31" t="s">
        <v>17</v>
      </c>
      <c r="B18" s="1" t="s">
        <v>768</v>
      </c>
    </row>
    <row r="21" spans="1:4" ht="15" customHeight="1" x14ac:dyDescent="0.35">
      <c r="A21" s="30" t="s">
        <v>4</v>
      </c>
      <c r="B21" s="30" t="s">
        <v>766</v>
      </c>
    </row>
    <row r="22" spans="1:4" ht="15" customHeight="1" x14ac:dyDescent="0.35">
      <c r="A22" s="31" t="s">
        <v>18</v>
      </c>
      <c r="B22" s="1" t="s">
        <v>769</v>
      </c>
    </row>
    <row r="23" spans="1:4" ht="23.25" customHeight="1" x14ac:dyDescent="0.35">
      <c r="A23" s="31" t="s">
        <v>19</v>
      </c>
      <c r="B23" s="1" t="s">
        <v>770</v>
      </c>
    </row>
    <row r="24" spans="1:4" ht="15" customHeight="1" x14ac:dyDescent="0.35">
      <c r="A24" s="31" t="s">
        <v>20</v>
      </c>
      <c r="B24" s="1" t="s">
        <v>771</v>
      </c>
    </row>
    <row r="27" spans="1:4" ht="15" customHeight="1" x14ac:dyDescent="0.35">
      <c r="A27" s="30" t="s">
        <v>772</v>
      </c>
    </row>
    <row r="28" spans="1:4" ht="15" customHeight="1" x14ac:dyDescent="0.35">
      <c r="A28" s="31" t="s">
        <v>39</v>
      </c>
      <c r="B28" s="31" t="s">
        <v>41</v>
      </c>
      <c r="C28" s="31" t="s">
        <v>43</v>
      </c>
      <c r="D28" s="32" t="s">
        <v>773</v>
      </c>
    </row>
    <row r="29" spans="1:4" ht="15" customHeight="1" x14ac:dyDescent="0.35">
      <c r="A29" s="31" t="s">
        <v>8</v>
      </c>
      <c r="B29" s="31" t="s">
        <v>16</v>
      </c>
      <c r="C29" s="31" t="s">
        <v>18</v>
      </c>
      <c r="D29" s="33" t="s">
        <v>541</v>
      </c>
    </row>
    <row r="30" spans="1:4" ht="15" customHeight="1" x14ac:dyDescent="0.35">
      <c r="A30" s="31" t="s">
        <v>9</v>
      </c>
      <c r="B30" s="31" t="s">
        <v>17</v>
      </c>
      <c r="C30" s="31" t="s">
        <v>19</v>
      </c>
      <c r="D30" s="33" t="s">
        <v>9</v>
      </c>
    </row>
    <row r="31" spans="1:4" ht="15" customHeight="1" x14ac:dyDescent="0.35">
      <c r="A31" s="31" t="s">
        <v>10</v>
      </c>
      <c r="C31" s="31" t="s">
        <v>20</v>
      </c>
      <c r="D31" s="33" t="s">
        <v>542</v>
      </c>
    </row>
    <row r="32" spans="1:4" ht="15" customHeight="1" x14ac:dyDescent="0.35">
      <c r="A32" s="31" t="s">
        <v>11</v>
      </c>
      <c r="D32" s="33" t="s">
        <v>10</v>
      </c>
    </row>
    <row r="33" spans="1:4" ht="15" customHeight="1" x14ac:dyDescent="0.35">
      <c r="A33" s="31" t="s">
        <v>12</v>
      </c>
      <c r="D33" s="33" t="s">
        <v>11</v>
      </c>
    </row>
    <row r="34" spans="1:4" ht="15" customHeight="1" x14ac:dyDescent="0.35">
      <c r="A34" s="31" t="s">
        <v>13</v>
      </c>
      <c r="D34" s="33" t="s">
        <v>543</v>
      </c>
    </row>
    <row r="35" spans="1:4" ht="15" customHeight="1" x14ac:dyDescent="0.35">
      <c r="A35" s="31" t="s">
        <v>14</v>
      </c>
      <c r="D35" s="33" t="s">
        <v>15</v>
      </c>
    </row>
    <row r="36" spans="1:4" ht="15" customHeight="1" x14ac:dyDescent="0.35">
      <c r="A36" s="31" t="s">
        <v>15</v>
      </c>
    </row>
  </sheetData>
  <mergeCells count="1">
    <mergeCell ref="A2:D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Status summary</vt:lpstr>
      <vt:lpstr>Source migration</vt:lpstr>
      <vt:lpstr>Event stream steps</vt:lpstr>
      <vt:lpstr>Step to source</vt:lpstr>
      <vt:lpstr>Status key</vt:lpstr>
      <vt:lpstr>DeltaList</vt:lpstr>
      <vt:lpstr>MigrationList</vt:lpstr>
      <vt:lpstr>SourceList</vt:lpstr>
      <vt:lpstr>StatusList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Ewan Hill Norris</cp:lastModifiedBy>
  <cp:revision>0</cp:revision>
  <dcterms:created xsi:type="dcterms:W3CDTF">2026-09-28T13:52:20Z</dcterms:created>
  <dcterms:modified xsi:type="dcterms:W3CDTF">2026-10-01T15:23:23Z</dcterms:modified>
  <dc:language>en-US</dc:language>
</cp:coreProperties>
</file>